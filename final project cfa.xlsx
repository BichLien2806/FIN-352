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5f34be5a6e446a8/ドキュメント/fin 449/"/>
    </mc:Choice>
  </mc:AlternateContent>
  <xr:revisionPtr revIDLastSave="4" documentId="8_{616C171B-7678-40B3-B435-10B766397739}" xr6:coauthVersionLast="47" xr6:coauthVersionMax="47" xr10:uidLastSave="{A28B08E7-C414-447B-A83E-33E55230A6DC}"/>
  <bookViews>
    <workbookView xWindow="-108" yWindow="-108" windowWidth="23256" windowHeight="12456" activeTab="4" xr2:uid="{00000000-000D-0000-FFFF-FFFF00000000}"/>
  </bookViews>
  <sheets>
    <sheet name="Historical Data" sheetId="1" r:id="rId1"/>
    <sheet name="Forecasting" sheetId="2" r:id="rId2"/>
    <sheet name="Debt" sheetId="3" r:id="rId3"/>
    <sheet name="Fixed Asset" sheetId="4" r:id="rId4"/>
    <sheet name="Depreciation" sheetId="5" r:id="rId5"/>
    <sheet name="CCC" sheetId="6" r:id="rId6"/>
    <sheet name="Sales" sheetId="7" r:id="rId7"/>
    <sheet name="Drilling Service" sheetId="8" r:id="rId8"/>
    <sheet name="WACC" sheetId="9" r:id="rId9"/>
    <sheet name="Firm Value" sheetId="10" r:id="rId10"/>
    <sheet name="Absolute Method" sheetId="11" r:id="rId11"/>
    <sheet name="Relative Method" sheetId="12" r:id="rId12"/>
    <sheet name="Peer" sheetId="13" r:id="rId13"/>
    <sheet name="Sensitivity Analysis" sheetId="14" r:id="rId14"/>
    <sheet name="Financial Analysis" sheetId="15" r:id="rId15"/>
    <sheet name="Additional Data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3" l="1"/>
  <c r="D36" i="13"/>
  <c r="E36" i="13"/>
  <c r="F36" i="13"/>
  <c r="C37" i="13"/>
  <c r="D37" i="13"/>
  <c r="E37" i="13"/>
  <c r="F37" i="13"/>
  <c r="D5" i="14"/>
  <c r="J9" i="16"/>
  <c r="H9" i="16"/>
  <c r="F9" i="16"/>
  <c r="D9" i="16"/>
  <c r="B9" i="16"/>
  <c r="J7" i="16"/>
  <c r="H7" i="16"/>
  <c r="F7" i="16"/>
  <c r="D7" i="16"/>
  <c r="B7" i="16"/>
  <c r="J5" i="16"/>
  <c r="H5" i="16"/>
  <c r="F5" i="16"/>
  <c r="D5" i="16"/>
  <c r="B5" i="16"/>
  <c r="F23" i="15"/>
  <c r="E23" i="15"/>
  <c r="D23" i="15"/>
  <c r="C23" i="15"/>
  <c r="B23" i="15"/>
  <c r="F22" i="15"/>
  <c r="E22" i="15"/>
  <c r="D22" i="15"/>
  <c r="C22" i="15"/>
  <c r="B22" i="15"/>
  <c r="F21" i="15"/>
  <c r="E21" i="15"/>
  <c r="D21" i="15"/>
  <c r="C21" i="15"/>
  <c r="B21" i="15"/>
  <c r="F3" i="15"/>
  <c r="E3" i="15"/>
  <c r="D3" i="15"/>
  <c r="C3" i="15"/>
  <c r="B3" i="15"/>
  <c r="G5" i="14"/>
  <c r="A2" i="14"/>
  <c r="F40" i="13"/>
  <c r="E40" i="13"/>
  <c r="D40" i="13"/>
  <c r="F39" i="13"/>
  <c r="E39" i="13"/>
  <c r="D39" i="13"/>
  <c r="F38" i="13"/>
  <c r="E38" i="13"/>
  <c r="D38" i="13"/>
  <c r="F31" i="13"/>
  <c r="E31" i="13"/>
  <c r="D31" i="13"/>
  <c r="C30" i="13"/>
  <c r="F28" i="13"/>
  <c r="E28" i="13"/>
  <c r="D28" i="13"/>
  <c r="C27" i="13"/>
  <c r="C26" i="13"/>
  <c r="C25" i="13"/>
  <c r="N19" i="13"/>
  <c r="M19" i="13"/>
  <c r="L19" i="13"/>
  <c r="F19" i="13"/>
  <c r="E19" i="13"/>
  <c r="D19" i="13"/>
  <c r="N18" i="13"/>
  <c r="M18" i="13"/>
  <c r="L18" i="13"/>
  <c r="F18" i="13"/>
  <c r="E18" i="13"/>
  <c r="D18" i="13"/>
  <c r="N17" i="13"/>
  <c r="M17" i="13"/>
  <c r="L17" i="13"/>
  <c r="F17" i="13"/>
  <c r="E17" i="13"/>
  <c r="D17" i="13"/>
  <c r="N16" i="13"/>
  <c r="M16" i="13"/>
  <c r="L16" i="13"/>
  <c r="F16" i="13"/>
  <c r="E16" i="13"/>
  <c r="D16" i="13"/>
  <c r="K12" i="13"/>
  <c r="C12" i="13"/>
  <c r="C11" i="13"/>
  <c r="N10" i="13"/>
  <c r="M10" i="13"/>
  <c r="L10" i="13"/>
  <c r="F10" i="13"/>
  <c r="E10" i="13"/>
  <c r="D10" i="13"/>
  <c r="K9" i="13"/>
  <c r="C9" i="13"/>
  <c r="C8" i="13"/>
  <c r="N7" i="13"/>
  <c r="M7" i="13"/>
  <c r="L7" i="13"/>
  <c r="F7" i="13"/>
  <c r="E7" i="13"/>
  <c r="D7" i="13"/>
  <c r="K6" i="13"/>
  <c r="C6" i="13"/>
  <c r="K5" i="13"/>
  <c r="C5" i="13"/>
  <c r="B5" i="13"/>
  <c r="K4" i="13"/>
  <c r="C4" i="13"/>
  <c r="B4" i="13"/>
  <c r="C3" i="13"/>
  <c r="C16" i="12"/>
  <c r="C14" i="12"/>
  <c r="C13" i="12"/>
  <c r="C12" i="12"/>
  <c r="C7" i="11"/>
  <c r="C4" i="11"/>
  <c r="E7" i="10"/>
  <c r="E5" i="10"/>
  <c r="E4" i="10"/>
  <c r="B1" i="10"/>
  <c r="N138" i="9"/>
  <c r="M138" i="9"/>
  <c r="N137" i="9"/>
  <c r="M137" i="9"/>
  <c r="N136" i="9"/>
  <c r="M136" i="9"/>
  <c r="N135" i="9"/>
  <c r="M135" i="9"/>
  <c r="N134" i="9"/>
  <c r="M134" i="9"/>
  <c r="N133" i="9"/>
  <c r="M133" i="9"/>
  <c r="N132" i="9"/>
  <c r="M132" i="9"/>
  <c r="N131" i="9"/>
  <c r="M131" i="9"/>
  <c r="N130" i="9"/>
  <c r="M130" i="9"/>
  <c r="N129" i="9"/>
  <c r="M129" i="9"/>
  <c r="N128" i="9"/>
  <c r="M128" i="9"/>
  <c r="N127" i="9"/>
  <c r="M127" i="9"/>
  <c r="N126" i="9"/>
  <c r="M126" i="9"/>
  <c r="N125" i="9"/>
  <c r="M125" i="9"/>
  <c r="N124" i="9"/>
  <c r="M124" i="9"/>
  <c r="N123" i="9"/>
  <c r="M123" i="9"/>
  <c r="N122" i="9"/>
  <c r="M122" i="9"/>
  <c r="N121" i="9"/>
  <c r="M121" i="9"/>
  <c r="N120" i="9"/>
  <c r="M120" i="9"/>
  <c r="N119" i="9"/>
  <c r="M119" i="9"/>
  <c r="N118" i="9"/>
  <c r="M118" i="9"/>
  <c r="N117" i="9"/>
  <c r="M117" i="9"/>
  <c r="N116" i="9"/>
  <c r="M116" i="9"/>
  <c r="N115" i="9"/>
  <c r="M115" i="9"/>
  <c r="N114" i="9"/>
  <c r="M114" i="9"/>
  <c r="N113" i="9"/>
  <c r="M113" i="9"/>
  <c r="N112" i="9"/>
  <c r="M112" i="9"/>
  <c r="N111" i="9"/>
  <c r="M111" i="9"/>
  <c r="N110" i="9"/>
  <c r="M110" i="9"/>
  <c r="N109" i="9"/>
  <c r="M109" i="9"/>
  <c r="N108" i="9"/>
  <c r="M108" i="9"/>
  <c r="N107" i="9"/>
  <c r="M107" i="9"/>
  <c r="N106" i="9"/>
  <c r="M106" i="9"/>
  <c r="N105" i="9"/>
  <c r="M105" i="9"/>
  <c r="N104" i="9"/>
  <c r="M104" i="9"/>
  <c r="N103" i="9"/>
  <c r="M103" i="9"/>
  <c r="N102" i="9"/>
  <c r="M102" i="9"/>
  <c r="N101" i="9"/>
  <c r="M101" i="9"/>
  <c r="N100" i="9"/>
  <c r="M100" i="9"/>
  <c r="N99" i="9"/>
  <c r="M99" i="9"/>
  <c r="N98" i="9"/>
  <c r="M98" i="9"/>
  <c r="N97" i="9"/>
  <c r="M97" i="9"/>
  <c r="N96" i="9"/>
  <c r="M96" i="9"/>
  <c r="N95" i="9"/>
  <c r="M95" i="9"/>
  <c r="N94" i="9"/>
  <c r="M94" i="9"/>
  <c r="N93" i="9"/>
  <c r="M93" i="9"/>
  <c r="N92" i="9"/>
  <c r="M92" i="9"/>
  <c r="N91" i="9"/>
  <c r="M91" i="9"/>
  <c r="N90" i="9"/>
  <c r="M90" i="9"/>
  <c r="N89" i="9"/>
  <c r="M89" i="9"/>
  <c r="N88" i="9"/>
  <c r="M88" i="9"/>
  <c r="N87" i="9"/>
  <c r="M87" i="9"/>
  <c r="N86" i="9"/>
  <c r="M86" i="9"/>
  <c r="N85" i="9"/>
  <c r="M85" i="9"/>
  <c r="N84" i="9"/>
  <c r="M84" i="9"/>
  <c r="N83" i="9"/>
  <c r="M83" i="9"/>
  <c r="N82" i="9"/>
  <c r="M82" i="9"/>
  <c r="N81" i="9"/>
  <c r="M81" i="9"/>
  <c r="N80" i="9"/>
  <c r="M80" i="9"/>
  <c r="N79" i="9"/>
  <c r="M79" i="9"/>
  <c r="N78" i="9"/>
  <c r="M78" i="9"/>
  <c r="N77" i="9"/>
  <c r="M77" i="9"/>
  <c r="N76" i="9"/>
  <c r="M76" i="9"/>
  <c r="N75" i="9"/>
  <c r="M75" i="9"/>
  <c r="N74" i="9"/>
  <c r="M74" i="9"/>
  <c r="N73" i="9"/>
  <c r="M73" i="9"/>
  <c r="N72" i="9"/>
  <c r="M72" i="9"/>
  <c r="N71" i="9"/>
  <c r="M71" i="9"/>
  <c r="N70" i="9"/>
  <c r="M70" i="9"/>
  <c r="N69" i="9"/>
  <c r="M69" i="9"/>
  <c r="N68" i="9"/>
  <c r="M68" i="9"/>
  <c r="N67" i="9"/>
  <c r="M67" i="9"/>
  <c r="N66" i="9"/>
  <c r="M66" i="9"/>
  <c r="N65" i="9"/>
  <c r="M65" i="9"/>
  <c r="N64" i="9"/>
  <c r="M64" i="9"/>
  <c r="N63" i="9"/>
  <c r="M63" i="9"/>
  <c r="N62" i="9"/>
  <c r="M62" i="9"/>
  <c r="N61" i="9"/>
  <c r="M61" i="9"/>
  <c r="N60" i="9"/>
  <c r="M60" i="9"/>
  <c r="N59" i="9"/>
  <c r="M59" i="9"/>
  <c r="N58" i="9"/>
  <c r="M58" i="9"/>
  <c r="N57" i="9"/>
  <c r="M57" i="9"/>
  <c r="N56" i="9"/>
  <c r="M56" i="9"/>
  <c r="N55" i="9"/>
  <c r="M55" i="9"/>
  <c r="N54" i="9"/>
  <c r="M54" i="9"/>
  <c r="N53" i="9"/>
  <c r="M53" i="9"/>
  <c r="N52" i="9"/>
  <c r="M52" i="9"/>
  <c r="N51" i="9"/>
  <c r="M51" i="9"/>
  <c r="N50" i="9"/>
  <c r="M50" i="9"/>
  <c r="N49" i="9"/>
  <c r="M49" i="9"/>
  <c r="N48" i="9"/>
  <c r="M48" i="9"/>
  <c r="N47" i="9"/>
  <c r="M47" i="9"/>
  <c r="N46" i="9"/>
  <c r="M46" i="9"/>
  <c r="N45" i="9"/>
  <c r="M45" i="9"/>
  <c r="N44" i="9"/>
  <c r="M44" i="9"/>
  <c r="N43" i="9"/>
  <c r="M43" i="9"/>
  <c r="N42" i="9"/>
  <c r="M42" i="9"/>
  <c r="N41" i="9"/>
  <c r="M41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B9" i="9"/>
  <c r="Q8" i="9"/>
  <c r="N8" i="9"/>
  <c r="M8" i="9"/>
  <c r="Q7" i="9"/>
  <c r="N7" i="9"/>
  <c r="M7" i="9"/>
  <c r="N6" i="9"/>
  <c r="M6" i="9"/>
  <c r="N5" i="9"/>
  <c r="M5" i="9"/>
  <c r="N4" i="9"/>
  <c r="M4" i="9"/>
  <c r="B4" i="9"/>
  <c r="W3" i="9"/>
  <c r="G76" i="8"/>
  <c r="F76" i="8"/>
  <c r="E76" i="8"/>
  <c r="D76" i="8"/>
  <c r="C76" i="8"/>
  <c r="B75" i="8"/>
  <c r="G73" i="8"/>
  <c r="F73" i="8"/>
  <c r="E73" i="8"/>
  <c r="D73" i="8"/>
  <c r="C73" i="8"/>
  <c r="B73" i="8"/>
  <c r="G68" i="8"/>
  <c r="G67" i="8"/>
  <c r="E63" i="8"/>
  <c r="E62" i="8"/>
  <c r="G61" i="8"/>
  <c r="F61" i="8"/>
  <c r="G54" i="8"/>
  <c r="F54" i="8"/>
  <c r="E54" i="8"/>
  <c r="D54" i="8"/>
  <c r="C42" i="8"/>
  <c r="C41" i="8"/>
  <c r="C35" i="8"/>
  <c r="C34" i="8"/>
  <c r="G5" i="8"/>
  <c r="F5" i="8"/>
  <c r="E5" i="8"/>
  <c r="D5" i="8"/>
  <c r="C5" i="8"/>
  <c r="F26" i="7"/>
  <c r="E26" i="7"/>
  <c r="D26" i="7"/>
  <c r="C26" i="7"/>
  <c r="B26" i="7"/>
  <c r="F24" i="7"/>
  <c r="E24" i="7"/>
  <c r="D24" i="7"/>
  <c r="C24" i="7"/>
  <c r="B24" i="7"/>
  <c r="F23" i="7"/>
  <c r="E23" i="7"/>
  <c r="D23" i="7"/>
  <c r="C23" i="7"/>
  <c r="F22" i="7"/>
  <c r="E22" i="7"/>
  <c r="D22" i="7"/>
  <c r="C22" i="7"/>
  <c r="B22" i="7"/>
  <c r="F16" i="7"/>
  <c r="E16" i="7"/>
  <c r="D16" i="7"/>
  <c r="C16" i="7"/>
  <c r="B16" i="7"/>
  <c r="F14" i="7"/>
  <c r="E14" i="7"/>
  <c r="D14" i="7"/>
  <c r="C14" i="7"/>
  <c r="F13" i="7"/>
  <c r="E13" i="7"/>
  <c r="D13" i="7"/>
  <c r="C13" i="7"/>
  <c r="B13" i="7"/>
  <c r="L12" i="7"/>
  <c r="J12" i="7"/>
  <c r="G7" i="7"/>
  <c r="F7" i="7"/>
  <c r="E7" i="7"/>
  <c r="D7" i="7"/>
  <c r="C7" i="7"/>
  <c r="B7" i="7"/>
  <c r="J6" i="7"/>
  <c r="F5" i="7"/>
  <c r="E5" i="7"/>
  <c r="D5" i="7"/>
  <c r="C5" i="7"/>
  <c r="F4" i="7"/>
  <c r="E4" i="7"/>
  <c r="D4" i="7"/>
  <c r="C4" i="7"/>
  <c r="B4" i="7"/>
  <c r="H5" i="6"/>
  <c r="F4" i="6"/>
  <c r="E4" i="6"/>
  <c r="D4" i="6"/>
  <c r="C4" i="6"/>
  <c r="B4" i="6"/>
  <c r="F3" i="6"/>
  <c r="E3" i="6"/>
  <c r="D3" i="6"/>
  <c r="C3" i="6"/>
  <c r="B3" i="6"/>
  <c r="F2" i="6"/>
  <c r="E2" i="6"/>
  <c r="D2" i="6"/>
  <c r="C2" i="6"/>
  <c r="B2" i="6"/>
  <c r="F9" i="5"/>
  <c r="E9" i="5"/>
  <c r="D9" i="5"/>
  <c r="C9" i="5"/>
  <c r="B9" i="5"/>
  <c r="F6" i="5"/>
  <c r="E6" i="5"/>
  <c r="D6" i="5"/>
  <c r="C6" i="5"/>
  <c r="B6" i="5"/>
  <c r="G12" i="4"/>
  <c r="F12" i="4"/>
  <c r="E12" i="4"/>
  <c r="D12" i="4"/>
  <c r="G10" i="4"/>
  <c r="F10" i="4"/>
  <c r="E10" i="4"/>
  <c r="D10" i="4"/>
  <c r="H8" i="4"/>
  <c r="G4" i="4"/>
  <c r="F4" i="4"/>
  <c r="E4" i="4"/>
  <c r="D4" i="4"/>
  <c r="C4" i="4"/>
  <c r="E6" i="3"/>
  <c r="D6" i="3"/>
  <c r="C6" i="3"/>
  <c r="B6" i="3"/>
  <c r="F5" i="3"/>
  <c r="G4" i="3"/>
  <c r="F4" i="3"/>
  <c r="F3" i="3"/>
  <c r="B100" i="2"/>
  <c r="C97" i="2"/>
  <c r="G92" i="2"/>
  <c r="F92" i="2"/>
  <c r="E92" i="2"/>
  <c r="D92" i="2"/>
  <c r="C92" i="2"/>
  <c r="G91" i="2"/>
  <c r="F91" i="2"/>
  <c r="E91" i="2"/>
  <c r="D91" i="2"/>
  <c r="C91" i="2"/>
  <c r="E87" i="2"/>
  <c r="D87" i="2"/>
  <c r="C87" i="2"/>
  <c r="E86" i="2"/>
  <c r="D86" i="2"/>
  <c r="C86" i="2"/>
  <c r="C85" i="2"/>
  <c r="G70" i="2"/>
  <c r="F70" i="2"/>
  <c r="E70" i="2"/>
  <c r="D70" i="2"/>
  <c r="C70" i="2"/>
  <c r="G60" i="2"/>
  <c r="G59" i="2"/>
  <c r="G58" i="2"/>
  <c r="F58" i="2"/>
  <c r="E58" i="2"/>
  <c r="D58" i="2"/>
  <c r="G57" i="2"/>
  <c r="F57" i="2"/>
  <c r="E57" i="2"/>
  <c r="D57" i="2"/>
  <c r="C57" i="2"/>
  <c r="C44" i="2"/>
  <c r="C43" i="2"/>
  <c r="G42" i="2"/>
  <c r="F42" i="2"/>
  <c r="E42" i="2"/>
  <c r="D42" i="2"/>
  <c r="C42" i="2"/>
  <c r="C41" i="2"/>
  <c r="C40" i="2"/>
  <c r="G39" i="2"/>
  <c r="F39" i="2"/>
  <c r="E39" i="2"/>
  <c r="D39" i="2"/>
  <c r="C38" i="2"/>
  <c r="C33" i="2"/>
  <c r="C32" i="2"/>
  <c r="C27" i="2"/>
  <c r="G24" i="2"/>
  <c r="F24" i="2"/>
  <c r="C15" i="2"/>
  <c r="G10" i="2"/>
  <c r="F10" i="2"/>
  <c r="E10" i="2"/>
  <c r="D10" i="2"/>
  <c r="C10" i="2"/>
  <c r="C8" i="2"/>
  <c r="L70" i="1"/>
  <c r="K70" i="1"/>
  <c r="J70" i="1"/>
  <c r="I70" i="1"/>
  <c r="L68" i="1"/>
  <c r="K68" i="1"/>
  <c r="J68" i="1"/>
  <c r="I68" i="1"/>
  <c r="H68" i="1"/>
  <c r="L67" i="1"/>
  <c r="K67" i="1"/>
  <c r="J67" i="1"/>
  <c r="I67" i="1"/>
  <c r="H67" i="1"/>
  <c r="F63" i="1"/>
  <c r="E63" i="1"/>
  <c r="D63" i="1"/>
  <c r="C63" i="1"/>
  <c r="B63" i="1"/>
  <c r="F62" i="1"/>
  <c r="E62" i="1"/>
  <c r="D62" i="1"/>
  <c r="C62" i="1"/>
  <c r="B62" i="1"/>
  <c r="L60" i="1"/>
  <c r="K60" i="1"/>
  <c r="J60" i="1"/>
  <c r="I60" i="1"/>
  <c r="H60" i="1"/>
  <c r="L59" i="1"/>
  <c r="K59" i="1"/>
  <c r="J59" i="1"/>
  <c r="I59" i="1"/>
  <c r="H59" i="1"/>
  <c r="F58" i="1"/>
  <c r="E58" i="1"/>
  <c r="D58" i="1"/>
  <c r="C58" i="1"/>
  <c r="B58" i="1"/>
  <c r="L57" i="1"/>
  <c r="K57" i="1"/>
  <c r="J57" i="1"/>
  <c r="I57" i="1"/>
  <c r="H57" i="1"/>
  <c r="L56" i="1"/>
  <c r="K56" i="1"/>
  <c r="J56" i="1"/>
  <c r="I56" i="1"/>
  <c r="H56" i="1"/>
  <c r="L55" i="1"/>
  <c r="K55" i="1"/>
  <c r="J55" i="1"/>
  <c r="I55" i="1"/>
  <c r="H55" i="1"/>
  <c r="L54" i="1"/>
  <c r="K54" i="1"/>
  <c r="J54" i="1"/>
  <c r="I54" i="1"/>
  <c r="H54" i="1"/>
  <c r="F53" i="1"/>
  <c r="E53" i="1"/>
  <c r="D53" i="1"/>
  <c r="C53" i="1"/>
  <c r="B53" i="1"/>
  <c r="F52" i="1"/>
  <c r="E52" i="1"/>
  <c r="D52" i="1"/>
  <c r="C52" i="1"/>
  <c r="B52" i="1"/>
  <c r="L50" i="1"/>
  <c r="K50" i="1"/>
  <c r="J50" i="1"/>
  <c r="I50" i="1"/>
  <c r="L49" i="1"/>
  <c r="K49" i="1"/>
  <c r="J49" i="1"/>
  <c r="I49" i="1"/>
  <c r="L48" i="1"/>
  <c r="K48" i="1"/>
  <c r="J48" i="1"/>
  <c r="I48" i="1"/>
  <c r="H48" i="1"/>
  <c r="L41" i="1"/>
  <c r="K41" i="1"/>
  <c r="J41" i="1"/>
  <c r="I41" i="1"/>
  <c r="H41" i="1"/>
  <c r="L40" i="1"/>
  <c r="K40" i="1"/>
  <c r="J40" i="1"/>
  <c r="I40" i="1"/>
  <c r="H40" i="1"/>
  <c r="F39" i="1"/>
  <c r="E39" i="1"/>
  <c r="D39" i="1"/>
  <c r="C39" i="1"/>
  <c r="B39" i="1"/>
  <c r="L38" i="1"/>
  <c r="K38" i="1"/>
  <c r="J38" i="1"/>
  <c r="I38" i="1"/>
  <c r="H38" i="1"/>
  <c r="L35" i="1"/>
  <c r="K35" i="1"/>
  <c r="J35" i="1"/>
  <c r="I35" i="1"/>
  <c r="H35" i="1"/>
  <c r="L34" i="1"/>
  <c r="K34" i="1"/>
  <c r="J34" i="1"/>
  <c r="I34" i="1"/>
  <c r="H34" i="1"/>
  <c r="F33" i="1"/>
  <c r="E33" i="1"/>
  <c r="D33" i="1"/>
  <c r="C33" i="1"/>
  <c r="B33" i="1"/>
  <c r="L21" i="1"/>
  <c r="K21" i="1"/>
  <c r="J21" i="1"/>
  <c r="I21" i="1"/>
  <c r="L17" i="1"/>
  <c r="K17" i="1"/>
  <c r="J17" i="1"/>
  <c r="I17" i="1"/>
  <c r="H17" i="1"/>
  <c r="M16" i="1"/>
  <c r="L16" i="1"/>
  <c r="K16" i="1"/>
  <c r="J16" i="1"/>
  <c r="I16" i="1"/>
  <c r="H16" i="1"/>
  <c r="L15" i="1"/>
  <c r="K15" i="1"/>
  <c r="J15" i="1"/>
  <c r="I15" i="1"/>
  <c r="H15" i="1"/>
  <c r="F11" i="1"/>
  <c r="E11" i="1"/>
  <c r="D11" i="1"/>
  <c r="C11" i="1"/>
  <c r="B11" i="1"/>
  <c r="L7" i="1"/>
  <c r="F7" i="1"/>
  <c r="E7" i="1"/>
  <c r="D7" i="1"/>
  <c r="C7" i="1"/>
  <c r="B7" i="1"/>
  <c r="F3" i="1"/>
  <c r="E3" i="1"/>
  <c r="D3" i="1"/>
  <c r="C3" i="1"/>
  <c r="B3" i="1"/>
  <c r="Q2" i="1"/>
  <c r="D19" i="15" l="1"/>
  <c r="E18" i="15"/>
  <c r="D6" i="15"/>
  <c r="H5" i="14"/>
  <c r="I5" i="14" s="1"/>
  <c r="K7" i="13"/>
  <c r="C7" i="13"/>
  <c r="D16" i="12"/>
  <c r="B2" i="9"/>
  <c r="B8" i="9" s="1"/>
  <c r="B76" i="8"/>
  <c r="K12" i="7"/>
  <c r="K6" i="7"/>
  <c r="C33" i="13"/>
  <c r="H68" i="8"/>
  <c r="H67" i="8"/>
  <c r="G63" i="8"/>
  <c r="F63" i="8"/>
  <c r="G62" i="8"/>
  <c r="F62" i="8"/>
  <c r="G56" i="8"/>
  <c r="F56" i="8"/>
  <c r="E56" i="8"/>
  <c r="D56" i="8"/>
  <c r="G55" i="8"/>
  <c r="F55" i="8"/>
  <c r="E55" i="8"/>
  <c r="D55" i="8"/>
  <c r="G26" i="8"/>
  <c r="F26" i="8"/>
  <c r="E26" i="8"/>
  <c r="D26" i="8"/>
  <c r="C26" i="8"/>
  <c r="G19" i="8"/>
  <c r="F19" i="8"/>
  <c r="E19" i="8"/>
  <c r="D19" i="8"/>
  <c r="C19" i="8"/>
  <c r="G12" i="8"/>
  <c r="F12" i="8"/>
  <c r="E12" i="8"/>
  <c r="D12" i="8"/>
  <c r="C12" i="8"/>
  <c r="G7" i="8"/>
  <c r="F7" i="8"/>
  <c r="E7" i="8"/>
  <c r="D7" i="8"/>
  <c r="C7" i="8"/>
  <c r="G6" i="8"/>
  <c r="F6" i="8"/>
  <c r="E6" i="8"/>
  <c r="D6" i="8"/>
  <c r="C6" i="8"/>
  <c r="G24" i="7"/>
  <c r="G16" i="7"/>
  <c r="G13" i="7"/>
  <c r="M12" i="7"/>
  <c r="D38" i="2"/>
  <c r="E38" i="2" s="1"/>
  <c r="F38" i="2" s="1"/>
  <c r="G38" i="2" s="1"/>
  <c r="D27" i="2"/>
  <c r="F5" i="6"/>
  <c r="E5" i="6"/>
  <c r="D5" i="6"/>
  <c r="C5" i="6"/>
  <c r="B5" i="6"/>
  <c r="G4" i="6"/>
  <c r="G3" i="6"/>
  <c r="G2" i="6"/>
  <c r="B15" i="5"/>
  <c r="B14" i="5"/>
  <c r="G8" i="5"/>
  <c r="H12" i="4"/>
  <c r="I8" i="4"/>
  <c r="E7" i="3"/>
  <c r="D7" i="3"/>
  <c r="C7" i="3"/>
  <c r="B7" i="3"/>
  <c r="F6" i="3"/>
  <c r="K5" i="3"/>
  <c r="J5" i="3"/>
  <c r="I5" i="3"/>
  <c r="H5" i="3"/>
  <c r="G5" i="3"/>
  <c r="K4" i="3"/>
  <c r="K6" i="3" s="1"/>
  <c r="J4" i="3"/>
  <c r="J6" i="3" s="1"/>
  <c r="I4" i="3"/>
  <c r="I6" i="3" s="1"/>
  <c r="H4" i="3"/>
  <c r="H6" i="3" s="1"/>
  <c r="C88" i="2"/>
  <c r="C71" i="2" s="1"/>
  <c r="G87" i="2"/>
  <c r="F87" i="2"/>
  <c r="G86" i="2"/>
  <c r="F86" i="2"/>
  <c r="D85" i="2"/>
  <c r="E85" i="2" s="1"/>
  <c r="F85" i="2" s="1"/>
  <c r="G85" i="2" s="1"/>
  <c r="G79" i="2"/>
  <c r="F79" i="2"/>
  <c r="E79" i="2"/>
  <c r="D79" i="2"/>
  <c r="C79" i="2"/>
  <c r="C78" i="2"/>
  <c r="C53" i="2"/>
  <c r="D44" i="2"/>
  <c r="E44" i="2" s="1"/>
  <c r="F44" i="2" s="1"/>
  <c r="G44" i="2" s="1"/>
  <c r="D43" i="2"/>
  <c r="D40" i="2"/>
  <c r="G72" i="2"/>
  <c r="F72" i="2"/>
  <c r="E72" i="2"/>
  <c r="D72" i="2"/>
  <c r="C72" i="2"/>
  <c r="C69" i="2"/>
  <c r="D8" i="2"/>
  <c r="E8" i="2" s="1"/>
  <c r="F8" i="2" s="1"/>
  <c r="G8" i="2" s="1"/>
  <c r="F71" i="1"/>
  <c r="M70" i="1"/>
  <c r="M68" i="1"/>
  <c r="M67" i="1"/>
  <c r="M60" i="1"/>
  <c r="M59" i="1"/>
  <c r="M57" i="1"/>
  <c r="M56" i="1"/>
  <c r="M55" i="1"/>
  <c r="M54" i="1"/>
  <c r="F51" i="1"/>
  <c r="E51" i="1"/>
  <c r="D51" i="1"/>
  <c r="C51" i="1"/>
  <c r="B51" i="1"/>
  <c r="M50" i="1"/>
  <c r="M49" i="1"/>
  <c r="M48" i="1"/>
  <c r="M41" i="1"/>
  <c r="M40" i="1"/>
  <c r="M38" i="1"/>
  <c r="M35" i="1"/>
  <c r="M34" i="1"/>
  <c r="M21" i="1"/>
  <c r="F20" i="1"/>
  <c r="E20" i="1"/>
  <c r="D20" i="1"/>
  <c r="C20" i="1"/>
  <c r="B20" i="1"/>
  <c r="M17" i="1"/>
  <c r="N15" i="1"/>
  <c r="O15" i="1" s="1"/>
  <c r="M15" i="1"/>
  <c r="L11" i="1"/>
  <c r="K11" i="1"/>
  <c r="J11" i="1"/>
  <c r="I11" i="1"/>
  <c r="H11" i="1"/>
  <c r="K7" i="1"/>
  <c r="J7" i="1"/>
  <c r="I7" i="1"/>
  <c r="H7" i="1"/>
  <c r="M7" i="1" s="1"/>
  <c r="L6" i="1"/>
  <c r="K6" i="1"/>
  <c r="J6" i="1"/>
  <c r="I6" i="1"/>
  <c r="H6" i="1"/>
  <c r="L5" i="1"/>
  <c r="K5" i="1"/>
  <c r="J5" i="1"/>
  <c r="I5" i="1"/>
  <c r="H5" i="1"/>
  <c r="L4" i="1"/>
  <c r="K4" i="1"/>
  <c r="J4" i="1"/>
  <c r="I4" i="1"/>
  <c r="H4" i="1"/>
  <c r="L3" i="1"/>
  <c r="K3" i="1"/>
  <c r="J3" i="1"/>
  <c r="I3" i="1"/>
  <c r="F24" i="15"/>
  <c r="C24" i="15"/>
  <c r="B24" i="15"/>
  <c r="F19" i="15"/>
  <c r="B19" i="15"/>
  <c r="D18" i="15"/>
  <c r="D15" i="15"/>
  <c r="D14" i="15"/>
  <c r="B9" i="15"/>
  <c r="F6" i="15"/>
  <c r="S4" i="15"/>
  <c r="F4" i="15"/>
  <c r="C28" i="13"/>
  <c r="M27" i="13"/>
  <c r="C17" i="13"/>
  <c r="K16" i="13"/>
  <c r="C16" i="13"/>
  <c r="N15" i="13"/>
  <c r="M15" i="13"/>
  <c r="L15" i="13"/>
  <c r="F15" i="13"/>
  <c r="N23" i="13" s="1"/>
  <c r="E15" i="13"/>
  <c r="M23" i="13" s="1"/>
  <c r="D15" i="13"/>
  <c r="L23" i="13" s="1"/>
  <c r="C10" i="13"/>
  <c r="G16" i="16"/>
  <c r="C13" i="13" s="1"/>
  <c r="E24" i="15"/>
  <c r="D24" i="15"/>
  <c r="E19" i="15"/>
  <c r="C19" i="15"/>
  <c r="F18" i="15"/>
  <c r="B18" i="15"/>
  <c r="E14" i="15"/>
  <c r="C14" i="15"/>
  <c r="F9" i="15"/>
  <c r="C9" i="15"/>
  <c r="E6" i="15"/>
  <c r="B6" i="15"/>
  <c r="T4" i="15"/>
  <c r="E4" i="15"/>
  <c r="F5" i="14"/>
  <c r="E5" i="14" s="1"/>
  <c r="L27" i="13"/>
  <c r="M26" i="13"/>
  <c r="F16" i="16"/>
  <c r="K13" i="13" s="1"/>
  <c r="C18" i="15"/>
  <c r="E15" i="15"/>
  <c r="B15" i="15"/>
  <c r="D9" i="15"/>
  <c r="C6" i="15"/>
  <c r="Q4" i="15"/>
  <c r="D4" i="15"/>
  <c r="N27" i="13"/>
  <c r="N26" i="13"/>
  <c r="L26" i="13"/>
  <c r="N25" i="13"/>
  <c r="M25" i="13"/>
  <c r="L25" i="13"/>
  <c r="E16" i="16"/>
  <c r="C34" i="13" s="1"/>
  <c r="D16" i="16"/>
  <c r="C16" i="16"/>
  <c r="G15" i="16"/>
  <c r="F15" i="16"/>
  <c r="E15" i="16"/>
  <c r="D15" i="16"/>
  <c r="C15" i="16"/>
  <c r="G14" i="16"/>
  <c r="F14" i="16"/>
  <c r="E14" i="16"/>
  <c r="D14" i="16"/>
  <c r="C10" i="15" s="1"/>
  <c r="C14" i="16"/>
  <c r="B10" i="15" s="1"/>
  <c r="N24" i="13"/>
  <c r="M24" i="13"/>
  <c r="L24" i="13"/>
  <c r="B14" i="15"/>
  <c r="E9" i="15"/>
  <c r="U4" i="15"/>
  <c r="R4" i="15"/>
  <c r="C4" i="15"/>
  <c r="D33" i="2"/>
  <c r="E33" i="2" s="1"/>
  <c r="F33" i="2" s="1"/>
  <c r="G33" i="2" s="1"/>
  <c r="D32" i="2"/>
  <c r="D15" i="2"/>
  <c r="E15" i="2" s="1"/>
  <c r="F15" i="2" s="1"/>
  <c r="G15" i="2" s="1"/>
  <c r="K15" i="7" l="1"/>
  <c r="K17" i="7"/>
  <c r="L6" i="7"/>
  <c r="C31" i="2"/>
  <c r="D31" i="2" s="1"/>
  <c r="E31" i="2" s="1"/>
  <c r="F31" i="2" s="1"/>
  <c r="G31" i="2" s="1"/>
  <c r="H6" i="4"/>
  <c r="G27" i="8"/>
  <c r="G28" i="8"/>
  <c r="F27" i="8"/>
  <c r="F28" i="8"/>
  <c r="G33" i="8"/>
  <c r="E27" i="8"/>
  <c r="E28" i="8"/>
  <c r="F33" i="8"/>
  <c r="D27" i="8"/>
  <c r="D28" i="8"/>
  <c r="E33" i="8"/>
  <c r="C27" i="8"/>
  <c r="C28" i="8"/>
  <c r="D33" i="8"/>
  <c r="G20" i="8"/>
  <c r="G21" i="8"/>
  <c r="F20" i="8"/>
  <c r="F21" i="8"/>
  <c r="E20" i="8"/>
  <c r="E21" i="8"/>
  <c r="D20" i="8"/>
  <c r="D21" i="8"/>
  <c r="C20" i="8"/>
  <c r="C21" i="8"/>
  <c r="G13" i="8"/>
  <c r="G14" i="8"/>
  <c r="F13" i="8"/>
  <c r="F14" i="8"/>
  <c r="E13" i="8"/>
  <c r="E14" i="8"/>
  <c r="D13" i="8"/>
  <c r="D14" i="8"/>
  <c r="C13" i="8"/>
  <c r="C14" i="8"/>
  <c r="M15" i="7"/>
  <c r="M17" i="7"/>
  <c r="N12" i="7"/>
  <c r="E27" i="2"/>
  <c r="D78" i="2"/>
  <c r="G10" i="5"/>
  <c r="H10" i="5"/>
  <c r="I12" i="4"/>
  <c r="J12" i="4" s="1"/>
  <c r="K12" i="4" s="1"/>
  <c r="L12" i="4" s="1"/>
  <c r="H7" i="4"/>
  <c r="J8" i="4"/>
  <c r="H8" i="5"/>
  <c r="C5" i="11"/>
  <c r="F14" i="15"/>
  <c r="F15" i="15"/>
  <c r="B7" i="9"/>
  <c r="G3" i="3"/>
  <c r="G93" i="2"/>
  <c r="F93" i="2"/>
  <c r="K3" i="3"/>
  <c r="E93" i="2"/>
  <c r="J3" i="3"/>
  <c r="I3" i="3"/>
  <c r="E43" i="2"/>
  <c r="D41" i="2"/>
  <c r="E40" i="2"/>
  <c r="D69" i="2"/>
  <c r="F22" i="1"/>
  <c r="F25" i="1" s="1"/>
  <c r="F7" i="15"/>
  <c r="F18" i="1"/>
  <c r="E22" i="1"/>
  <c r="E25" i="1" s="1"/>
  <c r="E7" i="15"/>
  <c r="K8" i="13"/>
  <c r="K10" i="13" s="1"/>
  <c r="K15" i="13" s="1"/>
  <c r="E18" i="1"/>
  <c r="E16" i="15" s="1"/>
  <c r="D22" i="1"/>
  <c r="D25" i="1" s="1"/>
  <c r="C29" i="13"/>
  <c r="C31" i="13" s="1"/>
  <c r="D7" i="15"/>
  <c r="D18" i="1"/>
  <c r="D16" i="15" s="1"/>
  <c r="C22" i="1"/>
  <c r="C25" i="1" s="1"/>
  <c r="C7" i="15"/>
  <c r="C18" i="1"/>
  <c r="C16" i="15" s="1"/>
  <c r="B22" i="1"/>
  <c r="B25" i="1" s="1"/>
  <c r="B7" i="15"/>
  <c r="B18" i="1"/>
  <c r="B16" i="15" s="1"/>
  <c r="F10" i="15"/>
  <c r="C14" i="13"/>
  <c r="C18" i="13" s="1"/>
  <c r="E10" i="15"/>
  <c r="K14" i="13"/>
  <c r="C35" i="13"/>
  <c r="D10" i="15"/>
  <c r="D88" i="2"/>
  <c r="D71" i="2" s="1"/>
  <c r="E32" i="2"/>
  <c r="C15" i="13"/>
  <c r="F7" i="3"/>
  <c r="G5" i="6"/>
  <c r="G6" i="3"/>
  <c r="M11" i="1"/>
  <c r="D53" i="2"/>
  <c r="E53" i="2" s="1"/>
  <c r="F53" i="2" s="1"/>
  <c r="G53" i="2" s="1"/>
  <c r="C19" i="13"/>
  <c r="L15" i="7"/>
  <c r="L17" i="7" s="1"/>
  <c r="C15" i="15"/>
  <c r="J15" i="7"/>
  <c r="M6" i="7" l="1"/>
  <c r="I6" i="4"/>
  <c r="H10" i="4"/>
  <c r="C84" i="2" s="1"/>
  <c r="C89" i="2" s="1"/>
  <c r="H5" i="4"/>
  <c r="G34" i="8"/>
  <c r="G35" i="8"/>
  <c r="G40" i="8"/>
  <c r="F34" i="8"/>
  <c r="F35" i="8"/>
  <c r="F40" i="8"/>
  <c r="E34" i="8"/>
  <c r="E35" i="8"/>
  <c r="E40" i="8"/>
  <c r="D34" i="8"/>
  <c r="D35" i="8"/>
  <c r="D40" i="8"/>
  <c r="N15" i="7"/>
  <c r="N17" i="7"/>
  <c r="E78" i="2"/>
  <c r="F27" i="2"/>
  <c r="K8" i="4"/>
  <c r="I8" i="5"/>
  <c r="I10" i="5" s="1"/>
  <c r="B10" i="9"/>
  <c r="B11" i="9" s="1"/>
  <c r="B14" i="9" s="1"/>
  <c r="B2" i="10" s="1"/>
  <c r="B12" i="9"/>
  <c r="F43" i="2"/>
  <c r="E41" i="2"/>
  <c r="F40" i="2"/>
  <c r="E69" i="2"/>
  <c r="F12" i="15"/>
  <c r="F8" i="15"/>
  <c r="F11" i="15"/>
  <c r="E11" i="15"/>
  <c r="K11" i="13"/>
  <c r="E8" i="15"/>
  <c r="E12" i="15"/>
  <c r="C32" i="13"/>
  <c r="D8" i="15"/>
  <c r="D11" i="15"/>
  <c r="D12" i="15"/>
  <c r="C12" i="15"/>
  <c r="C11" i="15"/>
  <c r="C8" i="15"/>
  <c r="B8" i="15"/>
  <c r="B12" i="15"/>
  <c r="B11" i="15"/>
  <c r="F32" i="2"/>
  <c r="E88" i="2"/>
  <c r="E71" i="2" s="1"/>
  <c r="H3" i="3"/>
  <c r="C93" i="2"/>
  <c r="J17" i="7"/>
  <c r="I7" i="4"/>
  <c r="J7" i="4" s="1"/>
  <c r="K7" i="4" s="1"/>
  <c r="L7" i="4" s="1"/>
  <c r="F16" i="15"/>
  <c r="D93" i="2"/>
  <c r="N6" i="7" l="1"/>
  <c r="J6" i="4"/>
  <c r="I10" i="4"/>
  <c r="D84" i="2" s="1"/>
  <c r="D89" i="2" s="1"/>
  <c r="I5" i="4"/>
  <c r="G5" i="5"/>
  <c r="G6" i="5" s="1"/>
  <c r="G4" i="5" s="1"/>
  <c r="H4" i="4"/>
  <c r="C30" i="2" s="1"/>
  <c r="F6" i="10" s="1"/>
  <c r="G41" i="8"/>
  <c r="G42" i="8"/>
  <c r="F47" i="8"/>
  <c r="F41" i="8"/>
  <c r="F42" i="8"/>
  <c r="E47" i="8"/>
  <c r="E41" i="8"/>
  <c r="E42" i="8"/>
  <c r="D47" i="8"/>
  <c r="D41" i="8"/>
  <c r="D42" i="8"/>
  <c r="C47" i="8"/>
  <c r="F78" i="2"/>
  <c r="G27" i="2"/>
  <c r="G78" i="2" s="1"/>
  <c r="L8" i="4"/>
  <c r="K8" i="5" s="1"/>
  <c r="K10" i="5" s="1"/>
  <c r="J8" i="5"/>
  <c r="J10" i="5" s="1"/>
  <c r="A1" i="14"/>
  <c r="D8" i="14"/>
  <c r="G43" i="2"/>
  <c r="G41" i="2" s="1"/>
  <c r="F41" i="2"/>
  <c r="G40" i="2"/>
  <c r="G69" i="2" s="1"/>
  <c r="F69" i="2"/>
  <c r="K17" i="13"/>
  <c r="K18" i="13"/>
  <c r="K19" i="13"/>
  <c r="C38" i="13"/>
  <c r="C39" i="13"/>
  <c r="C40" i="13"/>
  <c r="G32" i="2"/>
  <c r="G88" i="2" s="1"/>
  <c r="G71" i="2" s="1"/>
  <c r="F88" i="2"/>
  <c r="F71" i="2" s="1"/>
  <c r="K6" i="4" l="1"/>
  <c r="J10" i="4"/>
  <c r="E84" i="2" s="1"/>
  <c r="E89" i="2" s="1"/>
  <c r="J5" i="4"/>
  <c r="H5" i="5"/>
  <c r="H6" i="5" s="1"/>
  <c r="H4" i="5" s="1"/>
  <c r="I4" i="4"/>
  <c r="D30" i="2" s="1"/>
  <c r="G6" i="10" s="1"/>
  <c r="J6" i="2"/>
  <c r="F5" i="10"/>
  <c r="G47" i="8"/>
  <c r="F48" i="8"/>
  <c r="F49" i="8"/>
  <c r="F79" i="8" s="1"/>
  <c r="F81" i="8" s="1"/>
  <c r="M3" i="7" s="1"/>
  <c r="E48" i="8"/>
  <c r="E49" i="8"/>
  <c r="E79" i="8" s="1"/>
  <c r="E81" i="8" s="1"/>
  <c r="L3" i="7" s="1"/>
  <c r="D48" i="8"/>
  <c r="D49" i="8"/>
  <c r="D79" i="8" s="1"/>
  <c r="D81" i="8" s="1"/>
  <c r="K3" i="7" s="1"/>
  <c r="C48" i="8"/>
  <c r="C49" i="8"/>
  <c r="C79" i="8" s="1"/>
  <c r="C81" i="8" s="1"/>
  <c r="J3" i="7" s="1"/>
  <c r="D7" i="14"/>
  <c r="D6" i="14" s="1"/>
  <c r="D9" i="14"/>
  <c r="D10" i="14" s="1"/>
  <c r="M21" i="7"/>
  <c r="L6" i="4" l="1"/>
  <c r="K10" i="4"/>
  <c r="F84" i="2" s="1"/>
  <c r="F89" i="2" s="1"/>
  <c r="K5" i="4"/>
  <c r="I5" i="5"/>
  <c r="I6" i="5" s="1"/>
  <c r="I4" i="5" s="1"/>
  <c r="J4" i="4"/>
  <c r="E30" i="2" s="1"/>
  <c r="H6" i="10" s="1"/>
  <c r="K6" i="2"/>
  <c r="D68" i="2" s="1"/>
  <c r="G5" i="10"/>
  <c r="C68" i="2"/>
  <c r="B9" i="13"/>
  <c r="G48" i="8"/>
  <c r="G49" i="8"/>
  <c r="G79" i="8" s="1"/>
  <c r="G81" i="8" s="1"/>
  <c r="N3" i="7" s="1"/>
  <c r="L21" i="7"/>
  <c r="L5" i="7"/>
  <c r="L8" i="7"/>
  <c r="J21" i="7"/>
  <c r="J5" i="7"/>
  <c r="J31" i="7"/>
  <c r="C2" i="2" s="1"/>
  <c r="J8" i="7"/>
  <c r="M25" i="7"/>
  <c r="M32" i="7" s="1"/>
  <c r="F4" i="2" s="1"/>
  <c r="M27" i="7"/>
  <c r="K21" i="7"/>
  <c r="M8" i="7"/>
  <c r="M33" i="7" s="1"/>
  <c r="F5" i="2" s="1"/>
  <c r="M5" i="7"/>
  <c r="M31" i="7"/>
  <c r="F2" i="2" s="1"/>
  <c r="K5" i="7"/>
  <c r="K8" i="7"/>
  <c r="L10" i="4" l="1"/>
  <c r="G84" i="2" s="1"/>
  <c r="G89" i="2" s="1"/>
  <c r="L5" i="4"/>
  <c r="J5" i="5"/>
  <c r="J6" i="5" s="1"/>
  <c r="J4" i="5" s="1"/>
  <c r="K4" i="4"/>
  <c r="F30" i="2" s="1"/>
  <c r="I6" i="10" s="1"/>
  <c r="L6" i="2"/>
  <c r="E68" i="2" s="1"/>
  <c r="H5" i="10"/>
  <c r="N8" i="7"/>
  <c r="N5" i="7"/>
  <c r="N31" i="7"/>
  <c r="G2" i="2" s="1"/>
  <c r="N21" i="7"/>
  <c r="L25" i="7"/>
  <c r="L32" i="7" s="1"/>
  <c r="E4" i="2" s="1"/>
  <c r="J25" i="7"/>
  <c r="J32" i="7" s="1"/>
  <c r="C4" i="2" s="1"/>
  <c r="G3" i="15"/>
  <c r="C23" i="2"/>
  <c r="C25" i="2"/>
  <c r="C99" i="2"/>
  <c r="C81" i="2"/>
  <c r="C51" i="2"/>
  <c r="C50" i="2"/>
  <c r="C73" i="2"/>
  <c r="C29" i="2"/>
  <c r="C28" i="2" s="1"/>
  <c r="C7" i="2"/>
  <c r="C6" i="2"/>
  <c r="C3" i="2"/>
  <c r="F37" i="2"/>
  <c r="F26" i="2"/>
  <c r="K27" i="7"/>
  <c r="K33" i="7" s="1"/>
  <c r="D5" i="2" s="1"/>
  <c r="K25" i="7"/>
  <c r="K32" i="7" s="1"/>
  <c r="D4" i="2" s="1"/>
  <c r="K31" i="7"/>
  <c r="D2" i="2" s="1"/>
  <c r="J6" i="15"/>
  <c r="F25" i="2"/>
  <c r="J3" i="15"/>
  <c r="F23" i="2"/>
  <c r="F29" i="2"/>
  <c r="F99" i="2"/>
  <c r="F81" i="2"/>
  <c r="F73" i="2"/>
  <c r="F7" i="2"/>
  <c r="F6" i="2"/>
  <c r="L31" i="7"/>
  <c r="E2" i="2" s="1"/>
  <c r="K5" i="5" l="1"/>
  <c r="K6" i="5" s="1"/>
  <c r="K4" i="5" s="1"/>
  <c r="L4" i="4"/>
  <c r="G30" i="2" s="1"/>
  <c r="J6" i="10" s="1"/>
  <c r="M6" i="2"/>
  <c r="F68" i="2" s="1"/>
  <c r="I5" i="10"/>
  <c r="G3" i="2"/>
  <c r="G6" i="2"/>
  <c r="G7" i="2"/>
  <c r="G23" i="2"/>
  <c r="G25" i="2"/>
  <c r="G73" i="2"/>
  <c r="G81" i="2"/>
  <c r="G99" i="2"/>
  <c r="G29" i="2"/>
  <c r="K3" i="15"/>
  <c r="N25" i="7"/>
  <c r="N32" i="7" s="1"/>
  <c r="G4" i="2" s="1"/>
  <c r="E26" i="2"/>
  <c r="E37" i="2"/>
  <c r="C37" i="2"/>
  <c r="C26" i="2"/>
  <c r="G4" i="15"/>
  <c r="V4" i="15"/>
  <c r="D97" i="2"/>
  <c r="C101" i="2"/>
  <c r="C22" i="2"/>
  <c r="B6" i="13"/>
  <c r="B7" i="13" s="1"/>
  <c r="G21" i="15"/>
  <c r="C75" i="2"/>
  <c r="F36" i="2"/>
  <c r="F35" i="2" s="1"/>
  <c r="J23" i="15"/>
  <c r="F77" i="2"/>
  <c r="F76" i="2"/>
  <c r="J22" i="15"/>
  <c r="D37" i="2"/>
  <c r="D26" i="2"/>
  <c r="D23" i="2"/>
  <c r="D29" i="2"/>
  <c r="D28" i="2" s="1"/>
  <c r="H3" i="15"/>
  <c r="D3" i="2"/>
  <c r="D6" i="2"/>
  <c r="D7" i="2"/>
  <c r="D25" i="2"/>
  <c r="D73" i="2"/>
  <c r="D50" i="2"/>
  <c r="D51" i="2"/>
  <c r="E51" i="2" s="1"/>
  <c r="F51" i="2" s="1"/>
  <c r="G51" i="2" s="1"/>
  <c r="D81" i="2"/>
  <c r="D99" i="2"/>
  <c r="I7" i="10"/>
  <c r="J21" i="15"/>
  <c r="J24" i="15" s="1"/>
  <c r="Y4" i="15"/>
  <c r="J4" i="15"/>
  <c r="J19" i="15"/>
  <c r="F22" i="2"/>
  <c r="G97" i="2"/>
  <c r="F101" i="2"/>
  <c r="E3" i="2"/>
  <c r="E6" i="2"/>
  <c r="E7" i="2"/>
  <c r="E73" i="2"/>
  <c r="E81" i="2"/>
  <c r="E99" i="2"/>
  <c r="E23" i="2"/>
  <c r="E29" i="2"/>
  <c r="E28" i="2" s="1"/>
  <c r="I3" i="15"/>
  <c r="E25" i="2"/>
  <c r="F9" i="2"/>
  <c r="F28" i="2"/>
  <c r="L27" i="7"/>
  <c r="L33" i="7" s="1"/>
  <c r="E5" i="2" s="1"/>
  <c r="F3" i="2"/>
  <c r="H6" i="15"/>
  <c r="D9" i="2"/>
  <c r="J27" i="7"/>
  <c r="J33" i="7" s="1"/>
  <c r="C5" i="2" s="1"/>
  <c r="N6" i="2" l="1"/>
  <c r="G68" i="2" s="1"/>
  <c r="J5" i="10"/>
  <c r="G101" i="2"/>
  <c r="G75" i="2"/>
  <c r="K21" i="15"/>
  <c r="Z4" i="15"/>
  <c r="M3" i="15"/>
  <c r="K4" i="15"/>
  <c r="G37" i="2"/>
  <c r="G26" i="2"/>
  <c r="E76" i="2"/>
  <c r="I22" i="15"/>
  <c r="I23" i="15"/>
  <c r="E36" i="2"/>
  <c r="E35" i="2" s="1"/>
  <c r="E77" i="2"/>
  <c r="G23" i="15"/>
  <c r="C77" i="2"/>
  <c r="C36" i="2"/>
  <c r="G22" i="15"/>
  <c r="G24" i="15" s="1"/>
  <c r="C76" i="2"/>
  <c r="G18" i="15"/>
  <c r="C34" i="2"/>
  <c r="D77" i="2"/>
  <c r="D36" i="2"/>
  <c r="D35" i="2" s="1"/>
  <c r="H23" i="15"/>
  <c r="H22" i="15"/>
  <c r="D76" i="2"/>
  <c r="E97" i="2"/>
  <c r="D101" i="2"/>
  <c r="H19" i="15"/>
  <c r="D22" i="2"/>
  <c r="H4" i="15"/>
  <c r="W4" i="15"/>
  <c r="H21" i="15"/>
  <c r="H24" i="15" s="1"/>
  <c r="G7" i="10"/>
  <c r="G8" i="10" s="1"/>
  <c r="D75" i="2"/>
  <c r="E50" i="2"/>
  <c r="F34" i="2"/>
  <c r="J18" i="15"/>
  <c r="E22" i="2"/>
  <c r="I19" i="15"/>
  <c r="F97" i="2"/>
  <c r="E101" i="2"/>
  <c r="I4" i="15"/>
  <c r="X4" i="15"/>
  <c r="E75" i="2"/>
  <c r="H7" i="10"/>
  <c r="I21" i="15"/>
  <c r="J7" i="15"/>
  <c r="M5" i="2"/>
  <c r="M7" i="2" s="1"/>
  <c r="J16" i="15" s="1"/>
  <c r="I4" i="10"/>
  <c r="F11" i="2"/>
  <c r="E9" i="2"/>
  <c r="I6" i="15"/>
  <c r="K5" i="2"/>
  <c r="K7" i="2" s="1"/>
  <c r="H16" i="15" s="1"/>
  <c r="G4" i="10"/>
  <c r="H7" i="15"/>
  <c r="D11" i="2"/>
  <c r="C9" i="2"/>
  <c r="G6" i="15"/>
  <c r="G28" i="2"/>
  <c r="N27" i="7"/>
  <c r="N33" i="7" s="1"/>
  <c r="G5" i="2" s="1"/>
  <c r="F7" i="10"/>
  <c r="F8" i="10" s="1"/>
  <c r="F75" i="2"/>
  <c r="G77" i="2" l="1"/>
  <c r="G36" i="2"/>
  <c r="K23" i="15"/>
  <c r="K22" i="15"/>
  <c r="K24" i="15" s="1"/>
  <c r="G76" i="2"/>
  <c r="G19" i="15"/>
  <c r="C35" i="2"/>
  <c r="G9" i="15"/>
  <c r="G15" i="15"/>
  <c r="B14" i="13"/>
  <c r="D34" i="2"/>
  <c r="H18" i="15"/>
  <c r="F50" i="2"/>
  <c r="J9" i="15"/>
  <c r="J15" i="15"/>
  <c r="E34" i="2"/>
  <c r="I18" i="15"/>
  <c r="I8" i="10"/>
  <c r="I9" i="10" s="1"/>
  <c r="I10" i="10" s="1"/>
  <c r="H8" i="10"/>
  <c r="F66" i="2"/>
  <c r="F74" i="2" s="1"/>
  <c r="F82" i="2" s="1"/>
  <c r="F12" i="2"/>
  <c r="F80" i="2" s="1"/>
  <c r="F13" i="2"/>
  <c r="I7" i="15"/>
  <c r="E11" i="2"/>
  <c r="H4" i="10"/>
  <c r="H9" i="10" s="1"/>
  <c r="H10" i="10" s="1"/>
  <c r="L5" i="2"/>
  <c r="L7" i="2" s="1"/>
  <c r="I16" i="15" s="1"/>
  <c r="D12" i="2"/>
  <c r="D80" i="2" s="1"/>
  <c r="D66" i="2"/>
  <c r="D74" i="2" s="1"/>
  <c r="D82" i="2" s="1"/>
  <c r="J5" i="2"/>
  <c r="J7" i="2" s="1"/>
  <c r="B8" i="13"/>
  <c r="B10" i="13" s="1"/>
  <c r="B15" i="13" s="1"/>
  <c r="K23" i="13" s="1"/>
  <c r="O23" i="13" s="1"/>
  <c r="C4" i="12" s="1"/>
  <c r="G7" i="15"/>
  <c r="F4" i="10"/>
  <c r="F9" i="10" s="1"/>
  <c r="F10" i="10" s="1"/>
  <c r="C11" i="2"/>
  <c r="K6" i="15"/>
  <c r="G9" i="2"/>
  <c r="I24" i="15"/>
  <c r="G9" i="10"/>
  <c r="G10" i="10" s="1"/>
  <c r="G22" i="2"/>
  <c r="J7" i="10"/>
  <c r="J8" i="10" s="1"/>
  <c r="K19" i="15" l="1"/>
  <c r="G35" i="2"/>
  <c r="H9" i="15"/>
  <c r="H15" i="15"/>
  <c r="G50" i="2"/>
  <c r="I9" i="15"/>
  <c r="I15" i="15"/>
  <c r="F14" i="2"/>
  <c r="J8" i="15"/>
  <c r="J11" i="15"/>
  <c r="E12" i="2"/>
  <c r="E80" i="2" s="1"/>
  <c r="E66" i="2"/>
  <c r="E74" i="2" s="1"/>
  <c r="G16" i="15"/>
  <c r="C11" i="12"/>
  <c r="C15" i="12" s="1"/>
  <c r="C17" i="12" s="1"/>
  <c r="C66" i="2"/>
  <c r="C74" i="2" s="1"/>
  <c r="C82" i="2" s="1"/>
  <c r="C12" i="2"/>
  <c r="C80" i="2" s="1"/>
  <c r="G11" i="2"/>
  <c r="N5" i="2"/>
  <c r="N7" i="2" s="1"/>
  <c r="K16" i="15" s="1"/>
  <c r="J4" i="10"/>
  <c r="J9" i="10" s="1"/>
  <c r="K7" i="15"/>
  <c r="K18" i="15"/>
  <c r="G34" i="2"/>
  <c r="D13" i="2"/>
  <c r="F16" i="2" l="1"/>
  <c r="F94" i="2"/>
  <c r="F95" i="2" s="1"/>
  <c r="F96" i="2" s="1"/>
  <c r="F100" i="2" s="1"/>
  <c r="G12" i="2"/>
  <c r="G80" i="2" s="1"/>
  <c r="G66" i="2"/>
  <c r="G74" i="2" s="1"/>
  <c r="G82" i="2" s="1"/>
  <c r="G13" i="2"/>
  <c r="J10" i="10"/>
  <c r="E13" i="10" s="1"/>
  <c r="C3" i="11" s="1"/>
  <c r="C6" i="11" s="1"/>
  <c r="C8" i="11" s="1"/>
  <c r="A3" i="14" s="1"/>
  <c r="J11" i="10"/>
  <c r="J12" i="10" s="1"/>
  <c r="K9" i="15"/>
  <c r="K15" i="15"/>
  <c r="H11" i="15"/>
  <c r="H8" i="15"/>
  <c r="D14" i="2"/>
  <c r="E13" i="2"/>
  <c r="E82" i="2"/>
  <c r="C13" i="2"/>
  <c r="K11" i="15" l="1"/>
  <c r="G14" i="2"/>
  <c r="K8" i="15"/>
  <c r="D16" i="2"/>
  <c r="D94" i="2"/>
  <c r="D95" i="2" s="1"/>
  <c r="D96" i="2" s="1"/>
  <c r="D100" i="2" s="1"/>
  <c r="E14" i="2"/>
  <c r="I11" i="15"/>
  <c r="I8" i="15"/>
  <c r="C14" i="2"/>
  <c r="B11" i="13"/>
  <c r="G11" i="15"/>
  <c r="G8" i="15"/>
  <c r="G16" i="2" l="1"/>
  <c r="G94" i="2"/>
  <c r="G95" i="2" s="1"/>
  <c r="G96" i="2" s="1"/>
  <c r="G100" i="2" s="1"/>
  <c r="E94" i="2"/>
  <c r="E95" i="2" s="1"/>
  <c r="E96" i="2" s="1"/>
  <c r="E100" i="2" s="1"/>
  <c r="E16" i="2"/>
  <c r="C94" i="2"/>
  <c r="C95" i="2" s="1"/>
  <c r="C96" i="2" s="1"/>
  <c r="C100" i="2" s="1"/>
  <c r="C16" i="2"/>
  <c r="C52" i="2" s="1"/>
  <c r="B17" i="13"/>
  <c r="K25" i="13" s="1"/>
  <c r="O25" i="13" s="1"/>
  <c r="B18" i="13"/>
  <c r="K26" i="13" s="1"/>
  <c r="O26" i="13" s="1"/>
  <c r="C46" i="2" l="1"/>
  <c r="D52" i="2"/>
  <c r="G12" i="15" l="1"/>
  <c r="C54" i="2"/>
  <c r="C55" i="2" s="1"/>
  <c r="G10" i="15"/>
  <c r="G14" i="15"/>
  <c r="B12" i="13"/>
  <c r="B16" i="13" s="1"/>
  <c r="K24" i="13" s="1"/>
  <c r="O24" i="13" s="1"/>
  <c r="C5" i="12" s="1"/>
  <c r="D15" i="12" s="1"/>
  <c r="D17" i="12" s="1"/>
  <c r="C19" i="12" s="1"/>
  <c r="B13" i="13"/>
  <c r="B19" i="13" s="1"/>
  <c r="K27" i="13" s="1"/>
  <c r="O27" i="13" s="1"/>
  <c r="D46" i="2"/>
  <c r="E52" i="2"/>
  <c r="H12" i="15" l="1"/>
  <c r="H10" i="15"/>
  <c r="D54" i="2"/>
  <c r="D55" i="2" s="1"/>
  <c r="H14" i="15"/>
  <c r="E46" i="2"/>
  <c r="F52" i="2"/>
  <c r="I12" i="15" l="1"/>
  <c r="I10" i="15"/>
  <c r="I14" i="15"/>
  <c r="E54" i="2"/>
  <c r="E55" i="2" s="1"/>
  <c r="F46" i="2"/>
  <c r="G52" i="2"/>
  <c r="G46" i="2" s="1"/>
  <c r="J12" i="15" l="1"/>
  <c r="J14" i="15"/>
  <c r="F54" i="2"/>
  <c r="F55" i="2" s="1"/>
  <c r="J10" i="15"/>
  <c r="K12" i="15"/>
  <c r="K10" i="15"/>
  <c r="G54" i="2"/>
  <c r="G55" i="2" s="1"/>
  <c r="K14" i="15"/>
</calcChain>
</file>

<file path=xl/sharedStrings.xml><?xml version="1.0" encoding="utf-8"?>
<sst xmlns="http://schemas.openxmlformats.org/spreadsheetml/2006/main" count="723" uniqueCount="428">
  <si>
    <t>INCOME STATEMENT</t>
  </si>
  <si>
    <t>% on sale</t>
  </si>
  <si>
    <t>ITEMS</t>
  </si>
  <si>
    <t>Average</t>
  </si>
  <si>
    <t>CAGR</t>
  </si>
  <si>
    <t>Net revenue</t>
  </si>
  <si>
    <t xml:space="preserve">   Drilling services</t>
  </si>
  <si>
    <t xml:space="preserve">   Trading</t>
  </si>
  <si>
    <t xml:space="preserve">   Other services</t>
  </si>
  <si>
    <t>Cost of sales</t>
  </si>
  <si>
    <t>Gross profit</t>
  </si>
  <si>
    <t>SG&amp;A</t>
  </si>
  <si>
    <t>Other Expenses</t>
  </si>
  <si>
    <t>Other Operating Income</t>
  </si>
  <si>
    <t>EBITDA</t>
  </si>
  <si>
    <t>Depreciation and amortisation</t>
  </si>
  <si>
    <t>EBIT</t>
  </si>
  <si>
    <t>Interest expense</t>
  </si>
  <si>
    <t>EBT</t>
  </si>
  <si>
    <t>Current corporate income tax expense</t>
  </si>
  <si>
    <t>Deferred corporate tax income</t>
  </si>
  <si>
    <t>Net profit after tax</t>
  </si>
  <si>
    <t>Attributable to: - The Company's shareholders</t>
  </si>
  <si>
    <t>Attributable to: - Non-controlling interests and Interests of partners in BCC</t>
  </si>
  <si>
    <t>Basic earning per share</t>
  </si>
  <si>
    <t>BALANCE SHEET</t>
  </si>
  <si>
    <t>ASSETS</t>
  </si>
  <si>
    <t xml:space="preserve"> CURRENT ASSETS</t>
  </si>
  <si>
    <t>Cash and cash equivalents</t>
  </si>
  <si>
    <t>Short-term financial investments</t>
  </si>
  <si>
    <t>Short-term receivables</t>
  </si>
  <si>
    <t>Inventories</t>
  </si>
  <si>
    <t>Other short-term assets</t>
  </si>
  <si>
    <t xml:space="preserve"> NON-CURRENT ASSETS</t>
  </si>
  <si>
    <t>Long-term receivables</t>
  </si>
  <si>
    <t>Fixed assets</t>
  </si>
  <si>
    <t>Tangible fixed assets</t>
  </si>
  <si>
    <t xml:space="preserve">  Cost</t>
  </si>
  <si>
    <t xml:space="preserve">  Accumulated depreciation</t>
  </si>
  <si>
    <t>Intangible assets</t>
  </si>
  <si>
    <t xml:space="preserve">  Accumulated amortisation</t>
  </si>
  <si>
    <t>Long-term assets in progress</t>
  </si>
  <si>
    <t>Long-term financial investments</t>
  </si>
  <si>
    <t>Other long-term assets</t>
  </si>
  <si>
    <t>TOTAL ASSETS</t>
  </si>
  <si>
    <t xml:space="preserve"> LIABILITIES</t>
  </si>
  <si>
    <t xml:space="preserve">  Current liabilities</t>
  </si>
  <si>
    <t>Account payable</t>
  </si>
  <si>
    <t>Other short-term payable</t>
  </si>
  <si>
    <t>Short-term loans</t>
  </si>
  <si>
    <t>Short-term provisions</t>
  </si>
  <si>
    <t xml:space="preserve">  Long-term liabilities</t>
  </si>
  <si>
    <t>Long-term loans</t>
  </si>
  <si>
    <t>Long-term provisions</t>
  </si>
  <si>
    <t>Other long-term debt</t>
  </si>
  <si>
    <t xml:space="preserve"> EQUITY</t>
  </si>
  <si>
    <t xml:space="preserve">  Owners’ equity</t>
  </si>
  <si>
    <t>Owners’ contributed capital</t>
  </si>
  <si>
    <t>Share premium</t>
  </si>
  <si>
    <t>Treasury shares</t>
  </si>
  <si>
    <t>Foreign exchange reserve</t>
  </si>
  <si>
    <t>Investment and development fund</t>
  </si>
  <si>
    <t>Retained earnings</t>
  </si>
  <si>
    <t>Non-controlling interests</t>
  </si>
  <si>
    <t>TOTAL RESOURCES</t>
  </si>
  <si>
    <t>CASH FLOW STATEMENT</t>
  </si>
  <si>
    <t>CASH FLOWS FROM OPERATING ACTIVITIES</t>
  </si>
  <si>
    <t>Profit before tax</t>
  </si>
  <si>
    <t>Adjustments for:</t>
  </si>
  <si>
    <t>Provisions</t>
  </si>
  <si>
    <t>Foreign exchange loss/(gain)</t>
  </si>
  <si>
    <t>Gain from investing activities</t>
  </si>
  <si>
    <t>Other adjustments</t>
  </si>
  <si>
    <t>Operating profit before movements in working capital</t>
  </si>
  <si>
    <t>Changes in receivables</t>
  </si>
  <si>
    <t>Changes in inventories</t>
  </si>
  <si>
    <t>Changes in payables</t>
  </si>
  <si>
    <t>Changes in prepaid expenses</t>
  </si>
  <si>
    <t>Interest paid</t>
  </si>
  <si>
    <t>Corporate income tax paid</t>
  </si>
  <si>
    <t>Other cash outflows</t>
  </si>
  <si>
    <t>Net cash generated by operating activities</t>
  </si>
  <si>
    <t>CASH FLOWS FROM INVESTING ACTIVITIES</t>
  </si>
  <si>
    <t>Acquisition and construction of fixed assets</t>
  </si>
  <si>
    <t>Proceeds from sale, disposal of fixed asset</t>
  </si>
  <si>
    <t>Cash outflow for buying debt instruments</t>
  </si>
  <si>
    <t>Cash recovered from lending/selling debt</t>
  </si>
  <si>
    <t>Interest, dividends and profits received</t>
  </si>
  <si>
    <t>Net cash (used in)/from investing activities</t>
  </si>
  <si>
    <t>CASH FLOWS FROM FINANCING ACTIVITIES</t>
  </si>
  <si>
    <t>Proceeds from share issue/owners' capital</t>
  </si>
  <si>
    <t>-</t>
  </si>
  <si>
    <t>Proceeds from borrowings</t>
  </si>
  <si>
    <t>Repayment of borrowings</t>
  </si>
  <si>
    <t>Dividends and profits paid</t>
  </si>
  <si>
    <t>Net cash (used in)/from financing activities</t>
  </si>
  <si>
    <t>Net increases/(decreases) in cash</t>
  </si>
  <si>
    <t>Cash equivalents at beginning of year</t>
  </si>
  <si>
    <t>Effects of FX rate changes</t>
  </si>
  <si>
    <t>Foreign exchange differences (translation)</t>
  </si>
  <si>
    <t>Cash equivalents at end of year</t>
  </si>
  <si>
    <t>Tax (20%)</t>
  </si>
  <si>
    <t>Additional to retain earning</t>
  </si>
  <si>
    <t>External fund needed</t>
  </si>
  <si>
    <t>Plug</t>
  </si>
  <si>
    <t>Long-term debt</t>
  </si>
  <si>
    <t>Short-term debt</t>
  </si>
  <si>
    <t>2026</t>
  </si>
  <si>
    <t>2027</t>
  </si>
  <si>
    <t>2028</t>
  </si>
  <si>
    <t>2029</t>
  </si>
  <si>
    <t>2030</t>
  </si>
  <si>
    <t>Ajustment</t>
  </si>
  <si>
    <t>Total</t>
  </si>
  <si>
    <t>Interest rate</t>
  </si>
  <si>
    <t xml:space="preserve">   Cost</t>
  </si>
  <si>
    <t xml:space="preserve">   Accumulated depreciation</t>
  </si>
  <si>
    <t>Change in tangible fixed asset</t>
  </si>
  <si>
    <t>Depreciation expense</t>
  </si>
  <si>
    <t>Depreciation and Armotization</t>
  </si>
  <si>
    <t>Tangible</t>
  </si>
  <si>
    <t>Ratio</t>
  </si>
  <si>
    <t>DA Tangible</t>
  </si>
  <si>
    <t>Intangible</t>
  </si>
  <si>
    <t>DA Intangible</t>
  </si>
  <si>
    <t xml:space="preserve">Average </t>
  </si>
  <si>
    <t>Intangbile</t>
  </si>
  <si>
    <t>Target</t>
  </si>
  <si>
    <t>DSO</t>
  </si>
  <si>
    <t>DIO</t>
  </si>
  <si>
    <t>DPO</t>
  </si>
  <si>
    <t>CCC</t>
  </si>
  <si>
    <t>Forecast</t>
  </si>
  <si>
    <t>Drilling services</t>
  </si>
  <si>
    <t>2021</t>
  </si>
  <si>
    <t>2022</t>
  </si>
  <si>
    <t>2023</t>
  </si>
  <si>
    <t>2024</t>
  </si>
  <si>
    <t>2025</t>
  </si>
  <si>
    <t>Revenue</t>
  </si>
  <si>
    <t xml:space="preserve">   % on net revenue</t>
  </si>
  <si>
    <t>% growth</t>
  </si>
  <si>
    <t>COGS</t>
  </si>
  <si>
    <t xml:space="preserve">   % on revenue</t>
  </si>
  <si>
    <t>GPM</t>
  </si>
  <si>
    <t>Trading</t>
  </si>
  <si>
    <t>% on net revenue</t>
  </si>
  <si>
    <t>Other service</t>
  </si>
  <si>
    <t>&amp; on drilling service</t>
  </si>
  <si>
    <t>Net Revenue</t>
  </si>
  <si>
    <t xml:space="preserve">PV DRILLING I </t>
  </si>
  <si>
    <t>Rig day rate (USD per day)</t>
  </si>
  <si>
    <t>Utilization rate</t>
  </si>
  <si>
    <t>% price increase</t>
  </si>
  <si>
    <t>Day of working</t>
  </si>
  <si>
    <t>Day of not working</t>
  </si>
  <si>
    <t>PV DRILLING II</t>
  </si>
  <si>
    <t>PV DRILLING III</t>
  </si>
  <si>
    <t xml:space="preserve">PV DRILLING VI </t>
  </si>
  <si>
    <t xml:space="preserve">PV DRILLING VIII </t>
  </si>
  <si>
    <t>PV DRILLING IX</t>
  </si>
  <si>
    <t>PV DRILLING V</t>
  </si>
  <si>
    <t>PV DRILLING X</t>
  </si>
  <si>
    <t>PV DRILLING XI</t>
  </si>
  <si>
    <t>External Rig</t>
  </si>
  <si>
    <t>Day of working (2025)</t>
  </si>
  <si>
    <t>HAKURYU 11 (JAPAN ENEOS DRILLING)</t>
  </si>
  <si>
    <t>Buy rigs</t>
  </si>
  <si>
    <t>Cost (USD)</t>
  </si>
  <si>
    <t>Exchange rate</t>
  </si>
  <si>
    <t>THOR (BORR DRILLING)</t>
  </si>
  <si>
    <t>GUNLORD (BORR DRILLING)</t>
  </si>
  <si>
    <t>HAKURYU 14 (JAPAN ENEOS DRILLING)</t>
  </si>
  <si>
    <t>SHELF ENTERPRISE</t>
  </si>
  <si>
    <t>Total working date</t>
  </si>
  <si>
    <t>Average day rate</t>
  </si>
  <si>
    <t>Effective rigs</t>
  </si>
  <si>
    <t>Total forecast revenue for drilling services (USD)</t>
  </si>
  <si>
    <t>Total forecast revenue for drilling services (VND)</t>
  </si>
  <si>
    <t>Risk free rate</t>
  </si>
  <si>
    <t>Ngày</t>
  </si>
  <si>
    <t>Lần cuối</t>
  </si>
  <si>
    <t>Return market</t>
  </si>
  <si>
    <t>Return PVD</t>
  </si>
  <si>
    <t>Equity risk prenium</t>
  </si>
  <si>
    <t>21/05/2023</t>
  </si>
  <si>
    <t>Beta</t>
  </si>
  <si>
    <t>28/05/2023</t>
  </si>
  <si>
    <t>29/05/2026</t>
  </si>
  <si>
    <t>Market capitalization</t>
  </si>
  <si>
    <t>28/05/2026</t>
  </si>
  <si>
    <t>Share outstanding</t>
  </si>
  <si>
    <t>27/05/2026</t>
  </si>
  <si>
    <t>Debt</t>
  </si>
  <si>
    <t>18/06/2023</t>
  </si>
  <si>
    <t>beta</t>
  </si>
  <si>
    <t>26/05/2026</t>
  </si>
  <si>
    <t xml:space="preserve">Cost of equity </t>
  </si>
  <si>
    <t>25/06/2023</t>
  </si>
  <si>
    <t>adjusted beta</t>
  </si>
  <si>
    <t>25/05/2026</t>
  </si>
  <si>
    <t xml:space="preserve">Cost of debt </t>
  </si>
  <si>
    <t>22/05/2026</t>
  </si>
  <si>
    <t xml:space="preserve">Total </t>
  </si>
  <si>
    <t>21/05/2026</t>
  </si>
  <si>
    <t>Weight of equity</t>
  </si>
  <si>
    <t>16/07/2023</t>
  </si>
  <si>
    <t>20/05/2026</t>
  </si>
  <si>
    <t>Weight of debt</t>
  </si>
  <si>
    <t>23/07/2023</t>
  </si>
  <si>
    <t>19/05/2026</t>
  </si>
  <si>
    <t>Tax</t>
  </si>
  <si>
    <t>30/07/2023</t>
  </si>
  <si>
    <t>18/05/2026</t>
  </si>
  <si>
    <t>WACC</t>
  </si>
  <si>
    <t>15/05/2026</t>
  </si>
  <si>
    <t>13/08/2023</t>
  </si>
  <si>
    <t>14/05/2026</t>
  </si>
  <si>
    <t>20/08/2023</t>
  </si>
  <si>
    <t>13/05/2026</t>
  </si>
  <si>
    <t>27/08/2023</t>
  </si>
  <si>
    <t>17/09/2023</t>
  </si>
  <si>
    <t>24/09/2023</t>
  </si>
  <si>
    <t>15/10/2023</t>
  </si>
  <si>
    <t>22/10/2023</t>
  </si>
  <si>
    <t>30/04/2026</t>
  </si>
  <si>
    <t>29/10/2023</t>
  </si>
  <si>
    <t>29/04/2026</t>
  </si>
  <si>
    <t>28/04/2026</t>
  </si>
  <si>
    <t>27/04/2026</t>
  </si>
  <si>
    <t>19/11/2023</t>
  </si>
  <si>
    <t>24/04/2026</t>
  </si>
  <si>
    <t>26/11/2023</t>
  </si>
  <si>
    <t>23/04/2026</t>
  </si>
  <si>
    <t>22/04/2026</t>
  </si>
  <si>
    <t>21/04/2026</t>
  </si>
  <si>
    <t>17/12/2023</t>
  </si>
  <si>
    <t>20/04/2026</t>
  </si>
  <si>
    <t>24/12/2023</t>
  </si>
  <si>
    <t>17/04/2026</t>
  </si>
  <si>
    <t>31/12/2023</t>
  </si>
  <si>
    <t>16/04/2026</t>
  </si>
  <si>
    <t>15/04/2026</t>
  </si>
  <si>
    <t>14/01/2024</t>
  </si>
  <si>
    <t>14/04/2026</t>
  </si>
  <si>
    <t>21/01/2024</t>
  </si>
  <si>
    <t>13/04/2026</t>
  </si>
  <si>
    <t>28/01/2024</t>
  </si>
  <si>
    <t>18/02/2024</t>
  </si>
  <si>
    <t>25/02/2024</t>
  </si>
  <si>
    <t>17/03/2024</t>
  </si>
  <si>
    <t>24/03/2024</t>
  </si>
  <si>
    <t>31/03/2026</t>
  </si>
  <si>
    <t>31/03/2024</t>
  </si>
  <si>
    <t>30/03/2026</t>
  </si>
  <si>
    <t>27/03/2026</t>
  </si>
  <si>
    <t>14/04/2024</t>
  </si>
  <si>
    <t>26/03/2026</t>
  </si>
  <si>
    <t>21/04/2024</t>
  </si>
  <si>
    <t>25/03/2026</t>
  </si>
  <si>
    <t>28/04/2024</t>
  </si>
  <si>
    <t>24/03/2026</t>
  </si>
  <si>
    <t>23/03/2026</t>
  </si>
  <si>
    <t>20/03/2026</t>
  </si>
  <si>
    <t>19/05/2024</t>
  </si>
  <si>
    <t>19/03/2026</t>
  </si>
  <si>
    <t>26/05/2024</t>
  </si>
  <si>
    <t>18/03/2026</t>
  </si>
  <si>
    <t>17/03/2026</t>
  </si>
  <si>
    <t>16/03/2026</t>
  </si>
  <si>
    <t>16/06/2024</t>
  </si>
  <si>
    <t>13/03/2026</t>
  </si>
  <si>
    <t>23/06/2024</t>
  </si>
  <si>
    <t>30/06/2024</t>
  </si>
  <si>
    <t>14/07/2024</t>
  </si>
  <si>
    <t>21/07/2024</t>
  </si>
  <si>
    <t>28/07/2024</t>
  </si>
  <si>
    <t>18/08/2024</t>
  </si>
  <si>
    <t>25/08/2024</t>
  </si>
  <si>
    <t>27/02/2026</t>
  </si>
  <si>
    <t>26/02/2026</t>
  </si>
  <si>
    <t>25/02/2026</t>
  </si>
  <si>
    <t>15/09/2024</t>
  </si>
  <si>
    <t>24/02/2026</t>
  </si>
  <si>
    <t>22/09/2024</t>
  </si>
  <si>
    <t>23/02/2026</t>
  </si>
  <si>
    <t>29/09/2024</t>
  </si>
  <si>
    <t>20/02/2026</t>
  </si>
  <si>
    <t>19/02/2026</t>
  </si>
  <si>
    <t>13/10/2024</t>
  </si>
  <si>
    <t>18/02/2026</t>
  </si>
  <si>
    <t>20/10/2024</t>
  </si>
  <si>
    <t>17/02/2026</t>
  </si>
  <si>
    <t>27/10/2024</t>
  </si>
  <si>
    <t>16/02/2026</t>
  </si>
  <si>
    <t>13/02/2026</t>
  </si>
  <si>
    <t>17/11/2024</t>
  </si>
  <si>
    <t>24/11/2024</t>
  </si>
  <si>
    <t>15/12/2024</t>
  </si>
  <si>
    <t>22/12/2024</t>
  </si>
  <si>
    <t>29/12/2024</t>
  </si>
  <si>
    <t>30/01/2026</t>
  </si>
  <si>
    <t>19/01/2025</t>
  </si>
  <si>
    <t>29/01/2026</t>
  </si>
  <si>
    <t>28/01/2026</t>
  </si>
  <si>
    <t>27/01/2026</t>
  </si>
  <si>
    <t>16/02/2025</t>
  </si>
  <si>
    <t>26/01/2026</t>
  </si>
  <si>
    <t>23/02/2025</t>
  </si>
  <si>
    <t>23/01/2026</t>
  </si>
  <si>
    <t>22/01/2026</t>
  </si>
  <si>
    <t>21/01/2026</t>
  </si>
  <si>
    <t>16/03/2025</t>
  </si>
  <si>
    <t>20/01/2026</t>
  </si>
  <si>
    <t>23/03/2025</t>
  </si>
  <si>
    <t>19/01/2026</t>
  </si>
  <si>
    <t>30/03/2025</t>
  </si>
  <si>
    <t>16/01/2026</t>
  </si>
  <si>
    <t>15/01/2026</t>
  </si>
  <si>
    <t>13/04/2025</t>
  </si>
  <si>
    <t>14/01/2026</t>
  </si>
  <si>
    <t>20/04/2025</t>
  </si>
  <si>
    <t>13/01/2026</t>
  </si>
  <si>
    <t>27/04/2025</t>
  </si>
  <si>
    <t>18/05/2025</t>
  </si>
  <si>
    <t>25/05/2025</t>
  </si>
  <si>
    <t>15/06/2025</t>
  </si>
  <si>
    <t>22/06/2025</t>
  </si>
  <si>
    <t>31/12/2025</t>
  </si>
  <si>
    <t>29/06/2025</t>
  </si>
  <si>
    <t>30/12/2025</t>
  </si>
  <si>
    <t>29/12/2025</t>
  </si>
  <si>
    <t>13/07/2025</t>
  </si>
  <si>
    <t>26/12/2025</t>
  </si>
  <si>
    <t>20/07/2025</t>
  </si>
  <si>
    <t>25/12/2025</t>
  </si>
  <si>
    <t>27/07/2025</t>
  </si>
  <si>
    <t>24/12/2025</t>
  </si>
  <si>
    <t>23/12/2025</t>
  </si>
  <si>
    <t>22/12/2025</t>
  </si>
  <si>
    <t>17/08/2025</t>
  </si>
  <si>
    <t>19/12/2025</t>
  </si>
  <si>
    <t>24/08/2025</t>
  </si>
  <si>
    <t>18/12/2025</t>
  </si>
  <si>
    <t>31/08/2025</t>
  </si>
  <si>
    <t>17/12/2025</t>
  </si>
  <si>
    <t>16/12/2025</t>
  </si>
  <si>
    <t>14/09/2025</t>
  </si>
  <si>
    <t>15/12/2025</t>
  </si>
  <si>
    <t>21/09/2025</t>
  </si>
  <si>
    <t>28/09/2025</t>
  </si>
  <si>
    <t>19/10/2025</t>
  </si>
  <si>
    <t>26/10/2025</t>
  </si>
  <si>
    <t>16/11/2025</t>
  </si>
  <si>
    <t>23/11/2025</t>
  </si>
  <si>
    <t>30/11/2025</t>
  </si>
  <si>
    <t>14/12/2025</t>
  </si>
  <si>
    <t>21/12/2025</t>
  </si>
  <si>
    <t>28/12/2025</t>
  </si>
  <si>
    <t>Tax rate</t>
  </si>
  <si>
    <t>Wacc</t>
  </si>
  <si>
    <t xml:space="preserve">g </t>
  </si>
  <si>
    <t xml:space="preserve">Depreciation </t>
  </si>
  <si>
    <t>FC change</t>
  </si>
  <si>
    <t>WC</t>
  </si>
  <si>
    <t>WC change</t>
  </si>
  <si>
    <t>FCFF</t>
  </si>
  <si>
    <t>Discounted FCFF</t>
  </si>
  <si>
    <t>Terminal value</t>
  </si>
  <si>
    <t>Discounted TV</t>
  </si>
  <si>
    <t>Value of firm</t>
  </si>
  <si>
    <t>Value of equity</t>
  </si>
  <si>
    <t>EV/EBITDA</t>
  </si>
  <si>
    <t>P/B</t>
  </si>
  <si>
    <t>EV</t>
  </si>
  <si>
    <t>Cash and cash equivalent</t>
  </si>
  <si>
    <t>Equity</t>
  </si>
  <si>
    <t>Price per share</t>
  </si>
  <si>
    <t>Weight</t>
  </si>
  <si>
    <t>PVD (VND)</t>
  </si>
  <si>
    <t>Velesto (USD)</t>
  </si>
  <si>
    <t>Borr (USD)</t>
  </si>
  <si>
    <t>Seadrill (USD)</t>
  </si>
  <si>
    <t>Market capitaliztion</t>
  </si>
  <si>
    <t>Depreciation and armotization</t>
  </si>
  <si>
    <t>Net income after tax</t>
  </si>
  <si>
    <t>Average shareholder equity</t>
  </si>
  <si>
    <t>Average total asset</t>
  </si>
  <si>
    <t>P/E</t>
  </si>
  <si>
    <t>ROA</t>
  </si>
  <si>
    <t>ROE</t>
  </si>
  <si>
    <t>Sensitive Analysis</t>
  </si>
  <si>
    <t>Sale Growth</t>
  </si>
  <si>
    <t>Key Financial Metrics</t>
  </si>
  <si>
    <t>Net Revenue growth (%)</t>
  </si>
  <si>
    <t>Dupont Analysis</t>
  </si>
  <si>
    <t>Gross margin (%)</t>
  </si>
  <si>
    <t>Operating margin (%)</t>
  </si>
  <si>
    <t>Net margin (%)</t>
  </si>
  <si>
    <t>Asset Turnover (times)</t>
  </si>
  <si>
    <t>Financial Leverage (times)</t>
  </si>
  <si>
    <t>Return on Asset (%)</t>
  </si>
  <si>
    <t>Return on Equity (%)</t>
  </si>
  <si>
    <t>Leverage Metrics</t>
  </si>
  <si>
    <t>Debt to Equity (times)</t>
  </si>
  <si>
    <t>Debt to Asset (times)</t>
  </si>
  <si>
    <t>Debt to EBITDA (times)</t>
  </si>
  <si>
    <t>Liquidity Metrics</t>
  </si>
  <si>
    <t>Current ratio (times)</t>
  </si>
  <si>
    <t>Quick ratio (times)</t>
  </si>
  <si>
    <t>Efficiency Metrics</t>
  </si>
  <si>
    <t>Days Receivables (days)</t>
  </si>
  <si>
    <t>Days Inventories (days)</t>
  </si>
  <si>
    <t>Days Payables (days)</t>
  </si>
  <si>
    <t>Cash Cycle (days)</t>
  </si>
  <si>
    <t>Opening</t>
  </si>
  <si>
    <t>Closing</t>
  </si>
  <si>
    <t>Assets</t>
  </si>
  <si>
    <t>Liabilities</t>
  </si>
  <si>
    <t>Total Assets</t>
  </si>
  <si>
    <t>Total Liabilities</t>
  </si>
  <si>
    <t>Total Equity</t>
  </si>
  <si>
    <t>Value of operations</t>
  </si>
  <si>
    <t>Plus value non-oprating assests</t>
  </si>
  <si>
    <t xml:space="preserve">Less: Value of debt </t>
  </si>
  <si>
    <t>Divide by number of shares</t>
  </si>
  <si>
    <r>
      <t xml:space="preserve">    </t>
    </r>
    <r>
      <rPr>
        <i/>
        <sz val="12"/>
        <color theme="1"/>
        <rFont val="Times New Roman"/>
        <family val="1"/>
      </rPr>
      <t>Growth rate</t>
    </r>
  </si>
  <si>
    <r>
      <t xml:space="preserve">   Retention </t>
    </r>
    <r>
      <rPr>
        <i/>
        <sz val="12"/>
        <color theme="1"/>
        <rFont val="Times New Roman"/>
        <family val="1"/>
      </rPr>
      <t>Ratio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</si>
</sst>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00000"/>
    <numFmt numFmtId="166" formatCode="#,##0.0"/>
  </numFmts>
  <fonts count="13" x14ac:knownFonts="1">
    <font>
      <sz val="11"/>
      <color theme="1"/>
      <name val="Calibri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rgb="FFFF0000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i/>
      <sz val="12"/>
      <color rgb="FF44546A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rgb="FFC5E0B3"/>
        <bgColor rgb="FFC5E0B3"/>
      </patternFill>
    </fill>
    <fill>
      <patternFill patternType="solid">
        <fgColor rgb="FFC8C8C8"/>
        <bgColor rgb="FFC8C8C8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rgb="FFF9CB9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left" vertical="center"/>
    </xf>
    <xf numFmtId="0" fontId="1" fillId="11" borderId="8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0" fontId="4" fillId="0" borderId="0" xfId="0" applyNumberFormat="1" applyFont="1"/>
    <xf numFmtId="0" fontId="3" fillId="4" borderId="1" xfId="0" applyFont="1" applyFill="1" applyBorder="1"/>
    <xf numFmtId="37" fontId="3" fillId="4" borderId="1" xfId="0" applyNumberFormat="1" applyFont="1" applyFill="1" applyBorder="1"/>
    <xf numFmtId="10" fontId="5" fillId="0" borderId="0" xfId="0" applyNumberFormat="1" applyFont="1"/>
    <xf numFmtId="0" fontId="6" fillId="0" borderId="1" xfId="0" applyFont="1" applyBorder="1"/>
    <xf numFmtId="37" fontId="6" fillId="0" borderId="1" xfId="0" applyNumberFormat="1" applyFont="1" applyBorder="1"/>
    <xf numFmtId="37" fontId="6" fillId="0" borderId="0" xfId="0" applyNumberFormat="1" applyFont="1"/>
    <xf numFmtId="0" fontId="6" fillId="0" borderId="0" xfId="0" applyFont="1"/>
    <xf numFmtId="10" fontId="6" fillId="0" borderId="1" xfId="0" applyNumberFormat="1" applyFont="1" applyBorder="1"/>
    <xf numFmtId="3" fontId="6" fillId="0" borderId="1" xfId="0" applyNumberFormat="1" applyFont="1" applyBorder="1"/>
    <xf numFmtId="10" fontId="6" fillId="0" borderId="0" xfId="0" applyNumberFormat="1" applyFont="1"/>
    <xf numFmtId="0" fontId="4" fillId="0" borderId="1" xfId="0" applyFont="1" applyBorder="1"/>
    <xf numFmtId="37" fontId="4" fillId="0" borderId="1" xfId="0" applyNumberFormat="1" applyFont="1" applyBorder="1"/>
    <xf numFmtId="9" fontId="6" fillId="0" borderId="0" xfId="0" applyNumberFormat="1" applyFont="1"/>
    <xf numFmtId="9" fontId="4" fillId="0" borderId="0" xfId="0" applyNumberFormat="1" applyFont="1"/>
    <xf numFmtId="0" fontId="3" fillId="5" borderId="1" xfId="0" applyFont="1" applyFill="1" applyBorder="1"/>
    <xf numFmtId="37" fontId="3" fillId="5" borderId="1" xfId="0" applyNumberFormat="1" applyFont="1" applyFill="1" applyBorder="1"/>
    <xf numFmtId="37" fontId="4" fillId="0" borderId="0" xfId="0" applyNumberFormat="1" applyFont="1"/>
    <xf numFmtId="10" fontId="3" fillId="0" borderId="0" xfId="0" applyNumberFormat="1" applyFont="1"/>
    <xf numFmtId="37" fontId="3" fillId="0" borderId="0" xfId="0" applyNumberFormat="1" applyFont="1"/>
    <xf numFmtId="0" fontId="3" fillId="6" borderId="1" xfId="0" applyFont="1" applyFill="1" applyBorder="1"/>
    <xf numFmtId="37" fontId="3" fillId="6" borderId="1" xfId="0" applyNumberFormat="1" applyFont="1" applyFill="1" applyBorder="1"/>
    <xf numFmtId="0" fontId="3" fillId="0" borderId="1" xfId="0" applyFont="1" applyBorder="1"/>
    <xf numFmtId="37" fontId="4" fillId="0" borderId="1" xfId="0" applyNumberFormat="1" applyFont="1" applyBorder="1" applyAlignment="1">
      <alignment horizontal="right"/>
    </xf>
    <xf numFmtId="3" fontId="4" fillId="0" borderId="0" xfId="0" applyNumberFormat="1" applyFont="1"/>
    <xf numFmtId="0" fontId="3" fillId="7" borderId="1" xfId="0" applyFont="1" applyFill="1" applyBorder="1"/>
    <xf numFmtId="37" fontId="3" fillId="7" borderId="1" xfId="0" applyNumberFormat="1" applyFont="1" applyFill="1" applyBorder="1"/>
    <xf numFmtId="9" fontId="7" fillId="0" borderId="0" xfId="0" applyNumberFormat="1" applyFont="1"/>
    <xf numFmtId="10" fontId="8" fillId="0" borderId="0" xfId="0" applyNumberFormat="1" applyFont="1"/>
    <xf numFmtId="9" fontId="9" fillId="0" borderId="0" xfId="0" applyNumberFormat="1" applyFont="1"/>
    <xf numFmtId="0" fontId="3" fillId="2" borderId="1" xfId="0" applyFont="1" applyFill="1" applyBorder="1"/>
    <xf numFmtId="37" fontId="3" fillId="2" borderId="1" xfId="0" applyNumberFormat="1" applyFont="1" applyFill="1" applyBorder="1"/>
    <xf numFmtId="37" fontId="3" fillId="0" borderId="1" xfId="0" applyNumberFormat="1" applyFont="1" applyBorder="1"/>
    <xf numFmtId="37" fontId="4" fillId="2" borderId="1" xfId="0" applyNumberFormat="1" applyFont="1" applyFill="1" applyBorder="1"/>
    <xf numFmtId="37" fontId="4" fillId="0" borderId="3" xfId="0" applyNumberFormat="1" applyFont="1" applyBorder="1"/>
    <xf numFmtId="0" fontId="3" fillId="0" borderId="4" xfId="0" applyFont="1" applyBorder="1"/>
    <xf numFmtId="37" fontId="4" fillId="9" borderId="5" xfId="0" applyNumberFormat="1" applyFont="1" applyFill="1" applyBorder="1"/>
    <xf numFmtId="0" fontId="4" fillId="0" borderId="4" xfId="0" applyFont="1" applyBorder="1"/>
    <xf numFmtId="0" fontId="4" fillId="0" borderId="3" xfId="0" applyFont="1" applyBorder="1"/>
    <xf numFmtId="0" fontId="4" fillId="8" borderId="1" xfId="0" applyFont="1" applyFill="1" applyBorder="1"/>
    <xf numFmtId="0" fontId="3" fillId="8" borderId="1" xfId="0" applyFont="1" applyFill="1" applyBorder="1"/>
    <xf numFmtId="0" fontId="8" fillId="8" borderId="1" xfId="0" applyFont="1" applyFill="1" applyBorder="1"/>
    <xf numFmtId="10" fontId="4" fillId="0" borderId="1" xfId="0" applyNumberFormat="1" applyFont="1" applyBorder="1"/>
    <xf numFmtId="3" fontId="4" fillId="0" borderId="1" xfId="0" applyNumberFormat="1" applyFont="1" applyBorder="1"/>
    <xf numFmtId="10" fontId="4" fillId="0" borderId="3" xfId="0" applyNumberFormat="1" applyFont="1" applyBorder="1"/>
    <xf numFmtId="0" fontId="4" fillId="7" borderId="2" xfId="0" applyFont="1" applyFill="1" applyBorder="1"/>
    <xf numFmtId="0" fontId="4" fillId="0" borderId="3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164" fontId="4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wrapText="1"/>
    </xf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3" fillId="0" borderId="6" xfId="0" applyFont="1" applyBorder="1"/>
    <xf numFmtId="3" fontId="3" fillId="0" borderId="6" xfId="0" applyNumberFormat="1" applyFont="1" applyBorder="1"/>
    <xf numFmtId="0" fontId="6" fillId="0" borderId="6" xfId="0" applyFont="1" applyBorder="1"/>
    <xf numFmtId="3" fontId="6" fillId="0" borderId="6" xfId="0" applyNumberFormat="1" applyFont="1" applyBorder="1"/>
    <xf numFmtId="3" fontId="4" fillId="0" borderId="6" xfId="0" applyNumberFormat="1" applyFont="1" applyBorder="1"/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/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7" borderId="1" xfId="0" applyFont="1" applyFill="1" applyBorder="1"/>
    <xf numFmtId="0" fontId="3" fillId="0" borderId="1" xfId="0" applyFont="1" applyBorder="1" applyAlignment="1">
      <alignment horizontal="center"/>
    </xf>
    <xf numFmtId="10" fontId="10" fillId="0" borderId="1" xfId="0" applyNumberFormat="1" applyFont="1" applyBorder="1"/>
    <xf numFmtId="10" fontId="10" fillId="0" borderId="0" xfId="0" applyNumberFormat="1" applyFont="1"/>
    <xf numFmtId="10" fontId="5" fillId="0" borderId="1" xfId="0" applyNumberFormat="1" applyFont="1" applyBorder="1"/>
    <xf numFmtId="0" fontId="3" fillId="0" borderId="7" xfId="0" applyFont="1" applyBorder="1" applyAlignment="1">
      <alignment horizontal="center" vertical="top"/>
    </xf>
    <xf numFmtId="3" fontId="4" fillId="0" borderId="7" xfId="0" applyNumberFormat="1" applyFont="1" applyBorder="1"/>
    <xf numFmtId="0" fontId="4" fillId="0" borderId="7" xfId="0" applyFont="1" applyBorder="1"/>
    <xf numFmtId="0" fontId="3" fillId="10" borderId="1" xfId="0" applyFont="1" applyFill="1" applyBorder="1"/>
    <xf numFmtId="0" fontId="3" fillId="10" borderId="1" xfId="0" applyFont="1" applyFill="1" applyBorder="1" applyAlignment="1">
      <alignment horizontal="center"/>
    </xf>
    <xf numFmtId="1" fontId="4" fillId="0" borderId="1" xfId="0" applyNumberFormat="1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8" xfId="0" applyFont="1" applyBorder="1"/>
    <xf numFmtId="0" fontId="3" fillId="7" borderId="9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1" fillId="0" borderId="7" xfId="0" applyFont="1" applyBorder="1"/>
    <xf numFmtId="14" fontId="4" fillId="0" borderId="0" xfId="0" applyNumberFormat="1" applyFont="1"/>
    <xf numFmtId="4" fontId="4" fillId="0" borderId="0" xfId="0" applyNumberFormat="1" applyFont="1" applyAlignment="1">
      <alignment horizontal="right"/>
    </xf>
    <xf numFmtId="4" fontId="4" fillId="0" borderId="0" xfId="0" applyNumberFormat="1" applyFont="1"/>
    <xf numFmtId="165" fontId="4" fillId="0" borderId="0" xfId="0" applyNumberFormat="1" applyFont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2" fontId="4" fillId="0" borderId="0" xfId="0" applyNumberFormat="1" applyFont="1"/>
    <xf numFmtId="9" fontId="4" fillId="0" borderId="1" xfId="0" applyNumberFormat="1" applyFont="1" applyBorder="1"/>
    <xf numFmtId="164" fontId="4" fillId="0" borderId="1" xfId="0" applyNumberFormat="1" applyFont="1" applyBorder="1"/>
    <xf numFmtId="164" fontId="12" fillId="0" borderId="1" xfId="0" applyNumberFormat="1" applyFont="1" applyBorder="1"/>
    <xf numFmtId="4" fontId="4" fillId="0" borderId="1" xfId="0" applyNumberFormat="1" applyFont="1" applyBorder="1"/>
    <xf numFmtId="2" fontId="4" fillId="0" borderId="1" xfId="0" applyNumberFormat="1" applyFont="1" applyBorder="1" applyAlignment="1">
      <alignment horizontal="right"/>
    </xf>
    <xf numFmtId="37" fontId="4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3" fontId="4" fillId="0" borderId="1" xfId="0" applyNumberFormat="1" applyFont="1" applyBorder="1" applyAlignment="1">
      <alignment horizontal="right"/>
    </xf>
    <xf numFmtId="166" fontId="4" fillId="0" borderId="0" xfId="0" applyNumberFormat="1" applyFont="1"/>
    <xf numFmtId="0" fontId="11" fillId="0" borderId="10" xfId="0" applyFont="1" applyBorder="1"/>
    <xf numFmtId="0" fontId="11" fillId="0" borderId="4" xfId="0" applyFont="1" applyBorder="1"/>
    <xf numFmtId="0" fontId="11" fillId="0" borderId="12" xfId="0" applyFont="1" applyBorder="1"/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" fontId="2" fillId="0" borderId="1" xfId="0" applyNumberFormat="1" applyFont="1" applyFill="1" applyBorder="1" applyAlignment="1">
      <alignment horizontal="right" vertical="center"/>
    </xf>
    <xf numFmtId="9" fontId="2" fillId="14" borderId="1" xfId="0" applyNumberFormat="1" applyFont="1" applyFill="1" applyBorder="1" applyAlignment="1">
      <alignment horizontal="right" vertical="center"/>
    </xf>
    <xf numFmtId="10" fontId="2" fillId="14" borderId="1" xfId="0" applyNumberFormat="1" applyFont="1" applyFill="1" applyBorder="1" applyAlignment="1">
      <alignment horizontal="right" vertical="center"/>
    </xf>
    <xf numFmtId="3" fontId="12" fillId="0" borderId="1" xfId="0" applyNumberFormat="1" applyFont="1" applyFill="1" applyBorder="1" applyAlignment="1">
      <alignment horizontal="left" vertical="center"/>
    </xf>
    <xf numFmtId="0" fontId="4" fillId="13" borderId="1" xfId="0" applyFont="1" applyFill="1" applyBorder="1"/>
    <xf numFmtId="3" fontId="4" fillId="13" borderId="1" xfId="0" applyNumberFormat="1" applyFont="1" applyFill="1" applyBorder="1"/>
    <xf numFmtId="0" fontId="4" fillId="13" borderId="8" xfId="0" applyFont="1" applyFill="1" applyBorder="1" applyAlignment="1">
      <alignment horizontal="center"/>
    </xf>
    <xf numFmtId="0" fontId="4" fillId="1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371475</xdr:colOff>
      <xdr:row>19</xdr:row>
      <xdr:rowOff>0</xdr:rowOff>
    </xdr:from>
    <xdr:ext cx="6734175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1983675" y="3648355"/>
          <a:ext cx="6724650" cy="26329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workbookViewId="0">
      <pane xSplit="1" topLeftCell="H1" activePane="topRight" state="frozen"/>
      <selection pane="topRight" activeCell="H8" sqref="A1:XFD1048576"/>
    </sheetView>
  </sheetViews>
  <sheetFormatPr defaultColWidth="14.44140625" defaultRowHeight="15" customHeight="1" x14ac:dyDescent="0.3"/>
  <cols>
    <col min="1" max="1" width="65" style="7" customWidth="1"/>
    <col min="2" max="6" width="20.5546875" style="7" customWidth="1"/>
    <col min="7" max="7" width="18.109375" style="7" customWidth="1"/>
    <col min="8" max="8" width="19.5546875" style="7" customWidth="1"/>
    <col min="9" max="13" width="16.44140625" style="7" customWidth="1"/>
    <col min="14" max="19" width="9" style="7" customWidth="1"/>
    <col min="20" max="20" width="15.6640625" style="7" customWidth="1"/>
    <col min="21" max="21" width="19.44140625" style="7" customWidth="1"/>
    <col min="22" max="26" width="9" style="7" customWidth="1"/>
    <col min="27" max="16384" width="14.44140625" style="7"/>
  </cols>
  <sheetData>
    <row r="1" spans="1:26" ht="14.25" customHeight="1" x14ac:dyDescent="0.3">
      <c r="A1" s="6" t="s">
        <v>0</v>
      </c>
      <c r="H1" s="7" t="s">
        <v>1</v>
      </c>
    </row>
    <row r="2" spans="1:26" ht="14.25" customHeight="1" x14ac:dyDescent="0.3">
      <c r="A2" s="8" t="s">
        <v>2</v>
      </c>
      <c r="B2" s="9">
        <v>2021</v>
      </c>
      <c r="C2" s="9">
        <v>2022</v>
      </c>
      <c r="D2" s="9">
        <v>2023</v>
      </c>
      <c r="E2" s="9">
        <v>2024</v>
      </c>
      <c r="F2" s="9">
        <v>2025</v>
      </c>
      <c r="H2" s="9">
        <v>2021</v>
      </c>
      <c r="I2" s="9">
        <v>2022</v>
      </c>
      <c r="J2" s="9">
        <v>2023</v>
      </c>
      <c r="K2" s="9">
        <v>2024</v>
      </c>
      <c r="L2" s="9">
        <v>2025</v>
      </c>
      <c r="M2" s="10" t="s">
        <v>3</v>
      </c>
      <c r="P2" s="7" t="s">
        <v>4</v>
      </c>
      <c r="Q2" s="11">
        <f>(F3/B3)^(1/4)-1</f>
        <v>0.28509315090707132</v>
      </c>
    </row>
    <row r="3" spans="1:26" ht="14.25" customHeight="1" x14ac:dyDescent="0.3">
      <c r="A3" s="12" t="s">
        <v>5</v>
      </c>
      <c r="B3" s="13">
        <f t="shared" ref="B3:F3" si="0">SUM(B4:B6)</f>
        <v>3995471964670</v>
      </c>
      <c r="C3" s="13">
        <f t="shared" si="0"/>
        <v>5431604613820</v>
      </c>
      <c r="D3" s="13">
        <f t="shared" si="0"/>
        <v>5804412484923</v>
      </c>
      <c r="E3" s="13">
        <f t="shared" si="0"/>
        <v>9288059307546</v>
      </c>
      <c r="F3" s="13">
        <f t="shared" si="0"/>
        <v>10896989276040</v>
      </c>
      <c r="H3" s="14"/>
      <c r="I3" s="14">
        <f t="shared" ref="I3:L3" si="1">(C3-B3)/B3</f>
        <v>0.35944005160066622</v>
      </c>
      <c r="J3" s="14">
        <f t="shared" si="1"/>
        <v>6.8636783714786542E-2</v>
      </c>
      <c r="K3" s="14">
        <f t="shared" si="1"/>
        <v>0.60017216758316116</v>
      </c>
      <c r="L3" s="14">
        <f t="shared" si="1"/>
        <v>0.17322563467987756</v>
      </c>
    </row>
    <row r="4" spans="1:26" ht="14.25" customHeight="1" x14ac:dyDescent="0.3">
      <c r="A4" s="15" t="s">
        <v>6</v>
      </c>
      <c r="B4" s="16">
        <v>1837734722430</v>
      </c>
      <c r="C4" s="16">
        <v>3535403580588</v>
      </c>
      <c r="D4" s="16">
        <v>4067897158962</v>
      </c>
      <c r="E4" s="16">
        <v>5635320312015</v>
      </c>
      <c r="F4" s="16">
        <v>6052017310330</v>
      </c>
      <c r="G4" s="17"/>
      <c r="H4" s="14">
        <f t="shared" ref="H4:L4" si="2">B4/B3</f>
        <v>0.45995435299764015</v>
      </c>
      <c r="I4" s="14">
        <f t="shared" si="2"/>
        <v>0.65089487029166904</v>
      </c>
      <c r="J4" s="14">
        <f t="shared" si="2"/>
        <v>0.70082840761720322</v>
      </c>
      <c r="K4" s="14">
        <f t="shared" si="2"/>
        <v>0.60672742554912784</v>
      </c>
      <c r="L4" s="14">
        <f t="shared" si="2"/>
        <v>0.55538435039456346</v>
      </c>
      <c r="M4" s="18"/>
      <c r="N4" s="18"/>
      <c r="O4" s="18"/>
      <c r="P4" s="18"/>
      <c r="Q4" s="18"/>
      <c r="R4" s="18"/>
      <c r="S4" s="18"/>
      <c r="T4" s="18"/>
      <c r="U4" s="9"/>
      <c r="V4" s="18"/>
      <c r="W4" s="18"/>
      <c r="X4" s="18"/>
      <c r="Y4" s="18"/>
      <c r="Z4" s="18"/>
    </row>
    <row r="5" spans="1:26" ht="14.25" customHeight="1" x14ac:dyDescent="0.3">
      <c r="A5" s="15" t="s">
        <v>7</v>
      </c>
      <c r="B5" s="16">
        <v>495288090110</v>
      </c>
      <c r="C5" s="16">
        <v>114863242736</v>
      </c>
      <c r="D5" s="16">
        <v>157142368266</v>
      </c>
      <c r="E5" s="16">
        <v>1207086301149</v>
      </c>
      <c r="F5" s="16">
        <v>617651216604</v>
      </c>
      <c r="G5" s="18"/>
      <c r="H5" s="14">
        <f t="shared" ref="H5:L5" si="3">B5/B3</f>
        <v>0.1239623490014671</v>
      </c>
      <c r="I5" s="14">
        <f t="shared" si="3"/>
        <v>2.1147202512448286E-2</v>
      </c>
      <c r="J5" s="14">
        <f t="shared" si="3"/>
        <v>2.7072915419808351E-2</v>
      </c>
      <c r="K5" s="14">
        <f t="shared" si="3"/>
        <v>0.12996108887551069</v>
      </c>
      <c r="L5" s="14">
        <f t="shared" si="3"/>
        <v>5.6680905244357219E-2</v>
      </c>
      <c r="M5" s="18"/>
      <c r="N5" s="18"/>
      <c r="O5" s="18"/>
      <c r="P5" s="18"/>
      <c r="Q5" s="18"/>
      <c r="R5" s="18"/>
      <c r="S5" s="18"/>
      <c r="T5" s="12" t="s">
        <v>5</v>
      </c>
      <c r="U5" s="13"/>
      <c r="V5" s="18"/>
      <c r="W5" s="18"/>
      <c r="X5" s="18"/>
      <c r="Y5" s="18"/>
      <c r="Z5" s="18"/>
    </row>
    <row r="6" spans="1:26" ht="14.25" customHeight="1" x14ac:dyDescent="0.3">
      <c r="A6" s="15" t="s">
        <v>8</v>
      </c>
      <c r="B6" s="16">
        <v>1662449152130</v>
      </c>
      <c r="C6" s="16">
        <v>1781337790496</v>
      </c>
      <c r="D6" s="16">
        <v>1579372957695</v>
      </c>
      <c r="E6" s="16">
        <v>2445652694382</v>
      </c>
      <c r="F6" s="16">
        <v>4227320749106</v>
      </c>
      <c r="G6" s="18"/>
      <c r="H6" s="14">
        <f t="shared" ref="H6:L6" si="4">B6/B3</f>
        <v>0.41608329800089272</v>
      </c>
      <c r="I6" s="14">
        <f t="shared" si="4"/>
        <v>0.32795792719588268</v>
      </c>
      <c r="J6" s="14">
        <f t="shared" si="4"/>
        <v>0.2720986769629884</v>
      </c>
      <c r="K6" s="14">
        <f t="shared" si="4"/>
        <v>0.26331148557536144</v>
      </c>
      <c r="L6" s="14">
        <f t="shared" si="4"/>
        <v>0.38793474436107928</v>
      </c>
      <c r="M6" s="18"/>
      <c r="N6" s="18"/>
      <c r="O6" s="18"/>
      <c r="P6" s="18"/>
      <c r="Q6" s="18"/>
      <c r="R6" s="18"/>
      <c r="S6" s="18"/>
      <c r="T6" s="15" t="s">
        <v>6</v>
      </c>
      <c r="U6" s="19">
        <v>0.55538435039456346</v>
      </c>
      <c r="V6" s="18"/>
      <c r="W6" s="18"/>
      <c r="X6" s="18"/>
      <c r="Y6" s="18"/>
      <c r="Z6" s="18"/>
    </row>
    <row r="7" spans="1:26" ht="14.25" customHeight="1" x14ac:dyDescent="0.3">
      <c r="A7" s="12" t="s">
        <v>9</v>
      </c>
      <c r="B7" s="13">
        <f t="shared" ref="B7:F7" si="5">SUM(B8:B10)</f>
        <v>3624231518305</v>
      </c>
      <c r="C7" s="13">
        <f t="shared" si="5"/>
        <v>4854177283428</v>
      </c>
      <c r="D7" s="13">
        <f t="shared" si="5"/>
        <v>4498918879611</v>
      </c>
      <c r="E7" s="13">
        <f t="shared" si="5"/>
        <v>7533882511644</v>
      </c>
      <c r="F7" s="13">
        <f t="shared" si="5"/>
        <v>8819108718862</v>
      </c>
      <c r="H7" s="11">
        <f t="shared" ref="H7:L7" si="6">B7/B3</f>
        <v>0.90708470747693959</v>
      </c>
      <c r="I7" s="11">
        <f t="shared" si="6"/>
        <v>0.89369120702880089</v>
      </c>
      <c r="J7" s="11">
        <f t="shared" si="6"/>
        <v>0.77508600419025553</v>
      </c>
      <c r="K7" s="11">
        <f t="shared" si="6"/>
        <v>0.81113634852903715</v>
      </c>
      <c r="L7" s="11">
        <f t="shared" si="6"/>
        <v>0.80931608680695077</v>
      </c>
      <c r="M7" s="11">
        <f>AVERAGE(H7:L7)</f>
        <v>0.83926287080639672</v>
      </c>
      <c r="T7" s="15" t="s">
        <v>7</v>
      </c>
      <c r="U7" s="19">
        <v>5.6680905244357219E-2</v>
      </c>
    </row>
    <row r="8" spans="1:26" ht="14.25" customHeight="1" x14ac:dyDescent="0.3">
      <c r="A8" s="15" t="s">
        <v>6</v>
      </c>
      <c r="B8" s="16">
        <v>1835180033970</v>
      </c>
      <c r="C8" s="16">
        <v>3408806370904</v>
      </c>
      <c r="D8" s="16">
        <v>3204407818170</v>
      </c>
      <c r="E8" s="20">
        <v>4425686255586</v>
      </c>
      <c r="F8" s="16">
        <v>4847519368672</v>
      </c>
      <c r="G8" s="18"/>
      <c r="H8" s="21"/>
      <c r="I8" s="21"/>
      <c r="J8" s="21"/>
      <c r="K8" s="21"/>
      <c r="L8" s="21"/>
      <c r="M8" s="11"/>
      <c r="N8" s="18"/>
      <c r="O8" s="18"/>
      <c r="P8" s="18"/>
      <c r="Q8" s="18"/>
      <c r="R8" s="18"/>
      <c r="S8" s="18"/>
      <c r="T8" s="15" t="s">
        <v>8</v>
      </c>
      <c r="U8" s="19">
        <v>0.38793474436107928</v>
      </c>
      <c r="V8" s="18"/>
      <c r="W8" s="18"/>
      <c r="X8" s="18"/>
      <c r="Y8" s="18"/>
      <c r="Z8" s="18"/>
    </row>
    <row r="9" spans="1:26" ht="14.25" customHeight="1" x14ac:dyDescent="0.3">
      <c r="A9" s="15" t="s">
        <v>7</v>
      </c>
      <c r="B9" s="16">
        <v>463541343165</v>
      </c>
      <c r="C9" s="16">
        <v>86903506360</v>
      </c>
      <c r="D9" s="16">
        <v>144759187677</v>
      </c>
      <c r="E9" s="20">
        <v>1163229831462</v>
      </c>
      <c r="F9" s="16">
        <v>573801413642</v>
      </c>
      <c r="G9" s="18"/>
      <c r="H9" s="21"/>
      <c r="I9" s="21"/>
      <c r="J9" s="21"/>
      <c r="K9" s="21"/>
      <c r="L9" s="21"/>
      <c r="M9" s="11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4.25" customHeight="1" x14ac:dyDescent="0.3">
      <c r="A10" s="15" t="s">
        <v>8</v>
      </c>
      <c r="B10" s="16">
        <v>1325510141170</v>
      </c>
      <c r="C10" s="16">
        <v>1358467406164</v>
      </c>
      <c r="D10" s="16">
        <v>1149751873764</v>
      </c>
      <c r="E10" s="20">
        <v>1944966424596</v>
      </c>
      <c r="F10" s="16">
        <v>3397787936548</v>
      </c>
      <c r="G10" s="18"/>
      <c r="H10" s="21"/>
      <c r="I10" s="21"/>
      <c r="J10" s="21"/>
      <c r="K10" s="21"/>
      <c r="L10" s="21"/>
      <c r="M10" s="11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25" customHeight="1" x14ac:dyDescent="0.3">
      <c r="A11" s="12" t="s">
        <v>10</v>
      </c>
      <c r="B11" s="13">
        <f t="shared" ref="B11:F11" si="7">SUM(B12:B14)</f>
        <v>371240446365</v>
      </c>
      <c r="C11" s="13">
        <f t="shared" si="7"/>
        <v>577427330392</v>
      </c>
      <c r="D11" s="13">
        <f t="shared" si="7"/>
        <v>1305493605312</v>
      </c>
      <c r="E11" s="13">
        <f t="shared" si="7"/>
        <v>1754176795902</v>
      </c>
      <c r="F11" s="13">
        <f t="shared" si="7"/>
        <v>2077880557178</v>
      </c>
      <c r="H11" s="11">
        <f t="shared" ref="H11:L11" si="8">B11/B3</f>
        <v>9.2915292523060425E-2</v>
      </c>
      <c r="I11" s="11">
        <f t="shared" si="8"/>
        <v>0.10630879297119906</v>
      </c>
      <c r="J11" s="11">
        <f t="shared" si="8"/>
        <v>0.22491399580974444</v>
      </c>
      <c r="K11" s="11">
        <f t="shared" si="8"/>
        <v>0.18886365147096282</v>
      </c>
      <c r="L11" s="11">
        <f t="shared" si="8"/>
        <v>0.19068391319304925</v>
      </c>
      <c r="M11" s="11">
        <f>AVERAGE(H11:L11)</f>
        <v>0.1607371291936032</v>
      </c>
    </row>
    <row r="12" spans="1:26" ht="14.25" customHeight="1" x14ac:dyDescent="0.3">
      <c r="A12" s="15" t="s">
        <v>6</v>
      </c>
      <c r="B12" s="16">
        <v>2554688460</v>
      </c>
      <c r="C12" s="16">
        <v>126597209684</v>
      </c>
      <c r="D12" s="16">
        <v>863489340792</v>
      </c>
      <c r="E12" s="16">
        <v>1209634056429</v>
      </c>
      <c r="F12" s="16">
        <v>1204497941658</v>
      </c>
      <c r="G12" s="18"/>
      <c r="H12" s="21"/>
      <c r="I12" s="21"/>
      <c r="J12" s="21"/>
      <c r="K12" s="21"/>
      <c r="L12" s="21"/>
      <c r="M12" s="11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25" customHeight="1" x14ac:dyDescent="0.3">
      <c r="A13" s="15" t="s">
        <v>7</v>
      </c>
      <c r="B13" s="16">
        <v>31746746945</v>
      </c>
      <c r="C13" s="16">
        <v>27959736376</v>
      </c>
      <c r="D13" s="16">
        <v>12383180589</v>
      </c>
      <c r="E13" s="16">
        <v>43856469687</v>
      </c>
      <c r="F13" s="16">
        <v>43849802962</v>
      </c>
      <c r="G13" s="18"/>
      <c r="H13" s="21"/>
      <c r="I13" s="21"/>
      <c r="J13" s="21"/>
      <c r="K13" s="21"/>
      <c r="L13" s="21"/>
      <c r="M13" s="11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25" customHeight="1" x14ac:dyDescent="0.3">
      <c r="A14" s="15" t="s">
        <v>8</v>
      </c>
      <c r="B14" s="16">
        <v>336939010960</v>
      </c>
      <c r="C14" s="16">
        <v>422870384332</v>
      </c>
      <c r="D14" s="16">
        <v>429621083931</v>
      </c>
      <c r="E14" s="16">
        <v>500686269786</v>
      </c>
      <c r="F14" s="16">
        <v>829532812558</v>
      </c>
      <c r="G14" s="18"/>
      <c r="H14" s="21"/>
      <c r="I14" s="21"/>
      <c r="J14" s="21"/>
      <c r="K14" s="21"/>
      <c r="L14" s="21"/>
      <c r="M14" s="11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25" customHeight="1" x14ac:dyDescent="0.3">
      <c r="A15" s="22" t="s">
        <v>11</v>
      </c>
      <c r="B15" s="23">
        <v>398535076195</v>
      </c>
      <c r="C15" s="23">
        <v>510422010912</v>
      </c>
      <c r="D15" s="23">
        <v>546664325649</v>
      </c>
      <c r="E15" s="23">
        <v>635219085186</v>
      </c>
      <c r="F15" s="23">
        <v>854998891466</v>
      </c>
      <c r="G15" s="18"/>
      <c r="H15" s="21">
        <f t="shared" ref="H15:L15" si="9">B15/B3</f>
        <v>9.9746683175116813E-2</v>
      </c>
      <c r="I15" s="21">
        <f t="shared" si="9"/>
        <v>9.3972600585340599E-2</v>
      </c>
      <c r="J15" s="21">
        <f t="shared" si="9"/>
        <v>9.4180819690014142E-2</v>
      </c>
      <c r="K15" s="21">
        <f t="shared" si="9"/>
        <v>6.8390937670899876E-2</v>
      </c>
      <c r="L15" s="21">
        <f t="shared" si="9"/>
        <v>7.8461937495519801E-2</v>
      </c>
      <c r="M15" s="11">
        <f>AVERAGE(H15:L15)</f>
        <v>8.6950595723378238E-2</v>
      </c>
      <c r="N15" s="21">
        <f>MEDIAN(H15:L15)</f>
        <v>9.3972600585340599E-2</v>
      </c>
      <c r="O15" s="24">
        <f>N15+5%</f>
        <v>0.14397260058534062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25" customHeight="1" x14ac:dyDescent="0.3">
      <c r="A16" s="22" t="s">
        <v>12</v>
      </c>
      <c r="B16" s="23">
        <v>119887106745</v>
      </c>
      <c r="C16" s="23">
        <v>204876120108</v>
      </c>
      <c r="D16" s="23">
        <v>205606728132</v>
      </c>
      <c r="E16" s="23">
        <v>222196927770</v>
      </c>
      <c r="F16" s="23">
        <v>301371686732</v>
      </c>
      <c r="H16" s="11">
        <f t="shared" ref="H16:L16" si="10">B16/B3</f>
        <v>3.0005743452864372E-2</v>
      </c>
      <c r="I16" s="11">
        <f t="shared" si="10"/>
        <v>3.7719262478480078E-2</v>
      </c>
      <c r="J16" s="11">
        <f t="shared" si="10"/>
        <v>3.5422487403516695E-2</v>
      </c>
      <c r="K16" s="11">
        <f t="shared" si="10"/>
        <v>2.3922858415587216E-2</v>
      </c>
      <c r="L16" s="11">
        <f t="shared" si="10"/>
        <v>2.7656417667093404E-2</v>
      </c>
      <c r="M16" s="11">
        <f>4%</f>
        <v>0.04</v>
      </c>
      <c r="N16" s="25"/>
    </row>
    <row r="17" spans="1:26" ht="14.25" customHeight="1" x14ac:dyDescent="0.3">
      <c r="A17" s="22" t="s">
        <v>13</v>
      </c>
      <c r="B17" s="23">
        <v>318964577720</v>
      </c>
      <c r="C17" s="23">
        <v>167385583288</v>
      </c>
      <c r="D17" s="23">
        <v>355656689271</v>
      </c>
      <c r="E17" s="23">
        <v>278288788329</v>
      </c>
      <c r="F17" s="23">
        <v>655571311440</v>
      </c>
      <c r="H17" s="11">
        <f t="shared" ref="H17:L17" si="11">B17/B3</f>
        <v>7.9831514409423321E-2</v>
      </c>
      <c r="I17" s="11">
        <f t="shared" si="11"/>
        <v>3.0816967579361264E-2</v>
      </c>
      <c r="J17" s="11">
        <f t="shared" si="11"/>
        <v>6.1273503596586322E-2</v>
      </c>
      <c r="K17" s="11">
        <f t="shared" si="11"/>
        <v>2.9961995193431505E-2</v>
      </c>
      <c r="L17" s="11">
        <f t="shared" si="11"/>
        <v>6.0160774213245505E-2</v>
      </c>
      <c r="M17" s="11">
        <f>AVERAGE(H17:L17)</f>
        <v>5.2408950998409587E-2</v>
      </c>
    </row>
    <row r="18" spans="1:26" ht="14.25" customHeight="1" x14ac:dyDescent="0.3">
      <c r="A18" s="26" t="s">
        <v>14</v>
      </c>
      <c r="B18" s="27">
        <f t="shared" ref="B18:F18" si="12">B20+B19</f>
        <v>706190985525</v>
      </c>
      <c r="C18" s="27">
        <f t="shared" si="12"/>
        <v>812469030120</v>
      </c>
      <c r="D18" s="27">
        <f t="shared" si="12"/>
        <v>1765622534130</v>
      </c>
      <c r="E18" s="27">
        <f t="shared" si="12"/>
        <v>2058580896264</v>
      </c>
      <c r="F18" s="27">
        <f t="shared" si="12"/>
        <v>2436684521810</v>
      </c>
      <c r="H18" s="11"/>
      <c r="I18" s="11"/>
      <c r="J18" s="11"/>
      <c r="K18" s="11"/>
      <c r="L18" s="11"/>
      <c r="M18" s="28"/>
    </row>
    <row r="19" spans="1:26" ht="14.25" customHeight="1" x14ac:dyDescent="0.3">
      <c r="A19" s="22" t="s">
        <v>15</v>
      </c>
      <c r="B19" s="23">
        <v>534408144380</v>
      </c>
      <c r="C19" s="23">
        <v>782954247460</v>
      </c>
      <c r="D19" s="23">
        <v>856743293328</v>
      </c>
      <c r="E19" s="23">
        <v>883531324989</v>
      </c>
      <c r="F19" s="23">
        <v>859603231390</v>
      </c>
      <c r="H19" s="11"/>
      <c r="I19" s="11"/>
      <c r="J19" s="11"/>
      <c r="K19" s="11"/>
      <c r="L19" s="11"/>
      <c r="M19" s="28"/>
    </row>
    <row r="20" spans="1:26" ht="14.25" customHeight="1" x14ac:dyDescent="0.3">
      <c r="A20" s="26" t="s">
        <v>16</v>
      </c>
      <c r="B20" s="27">
        <f t="shared" ref="B20:F20" si="13">B11-B15-B16+B17</f>
        <v>171782841145</v>
      </c>
      <c r="C20" s="27">
        <f t="shared" si="13"/>
        <v>29514782660</v>
      </c>
      <c r="D20" s="27">
        <f t="shared" si="13"/>
        <v>908879240802</v>
      </c>
      <c r="E20" s="27">
        <f t="shared" si="13"/>
        <v>1175049571275</v>
      </c>
      <c r="F20" s="27">
        <f t="shared" si="13"/>
        <v>1577081290420</v>
      </c>
      <c r="H20" s="11"/>
      <c r="I20" s="11"/>
      <c r="J20" s="11"/>
      <c r="K20" s="11"/>
      <c r="L20" s="11"/>
      <c r="M20" s="28"/>
    </row>
    <row r="21" spans="1:26" ht="14.25" customHeight="1" x14ac:dyDescent="0.3">
      <c r="A21" s="22" t="s">
        <v>17</v>
      </c>
      <c r="B21" s="23">
        <v>109283560320</v>
      </c>
      <c r="C21" s="23">
        <v>168031934532</v>
      </c>
      <c r="D21" s="23">
        <v>250499968602</v>
      </c>
      <c r="E21" s="23">
        <v>237839369526</v>
      </c>
      <c r="F21" s="23">
        <v>190796075404</v>
      </c>
      <c r="G21" s="6"/>
      <c r="H21" s="29"/>
      <c r="I21" s="29">
        <f t="shared" ref="I21:L21" si="14">(C21-B21)/B21</f>
        <v>0.5375774182317562</v>
      </c>
      <c r="J21" s="29">
        <f t="shared" si="14"/>
        <v>0.49078786303144528</v>
      </c>
      <c r="K21" s="29">
        <f t="shared" si="14"/>
        <v>-5.0541320011562335E-2</v>
      </c>
      <c r="L21" s="29">
        <f t="shared" si="14"/>
        <v>-0.19779439466121418</v>
      </c>
      <c r="M21" s="29">
        <f>AVERAGE(I21:L21)</f>
        <v>0.19500739164760628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3">
      <c r="A22" s="26" t="s">
        <v>18</v>
      </c>
      <c r="B22" s="27">
        <f t="shared" ref="B22:F22" si="15">B20-B21</f>
        <v>62499280825</v>
      </c>
      <c r="C22" s="27">
        <f t="shared" si="15"/>
        <v>-138517151872</v>
      </c>
      <c r="D22" s="27">
        <f t="shared" si="15"/>
        <v>658379272200</v>
      </c>
      <c r="E22" s="27">
        <f t="shared" si="15"/>
        <v>937210201749</v>
      </c>
      <c r="F22" s="27">
        <f t="shared" si="15"/>
        <v>1386285215016</v>
      </c>
      <c r="H22" s="11"/>
      <c r="I22" s="11"/>
      <c r="J22" s="11"/>
      <c r="K22" s="11"/>
      <c r="L22" s="11"/>
      <c r="M22" s="28"/>
    </row>
    <row r="23" spans="1:26" ht="14.25" customHeight="1" x14ac:dyDescent="0.3">
      <c r="A23" s="22" t="s">
        <v>19</v>
      </c>
      <c r="B23" s="23">
        <v>43888070775</v>
      </c>
      <c r="C23" s="23">
        <v>38111703432</v>
      </c>
      <c r="D23" s="23">
        <v>135002100324</v>
      </c>
      <c r="E23" s="23">
        <v>269824313937</v>
      </c>
      <c r="F23" s="23">
        <v>345502862294</v>
      </c>
      <c r="G23" s="6"/>
      <c r="H23" s="30"/>
      <c r="I23" s="30"/>
      <c r="J23" s="30"/>
      <c r="K23" s="30"/>
      <c r="L23" s="30"/>
      <c r="M23" s="30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3">
      <c r="A24" s="22" t="s">
        <v>20</v>
      </c>
      <c r="B24" s="23">
        <v>-18158757360</v>
      </c>
      <c r="C24" s="23">
        <v>-21772416952</v>
      </c>
      <c r="D24" s="23">
        <v>-22565008908</v>
      </c>
      <c r="E24" s="23">
        <v>-30584822613</v>
      </c>
      <c r="F24" s="23">
        <v>-10790639210</v>
      </c>
      <c r="H24" s="11"/>
      <c r="I24" s="11"/>
      <c r="J24" s="11"/>
      <c r="K24" s="11"/>
      <c r="L24" s="11"/>
    </row>
    <row r="25" spans="1:26" ht="14.25" customHeight="1" x14ac:dyDescent="0.3">
      <c r="A25" s="31" t="s">
        <v>21</v>
      </c>
      <c r="B25" s="32">
        <f t="shared" ref="B25:F25" si="16">B22-B23-B24</f>
        <v>36769967410</v>
      </c>
      <c r="C25" s="32">
        <f t="shared" si="16"/>
        <v>-154856438352</v>
      </c>
      <c r="D25" s="32">
        <f t="shared" si="16"/>
        <v>545942180784</v>
      </c>
      <c r="E25" s="32">
        <f t="shared" si="16"/>
        <v>697970710425</v>
      </c>
      <c r="F25" s="32">
        <f t="shared" si="16"/>
        <v>1051572991932</v>
      </c>
      <c r="H25" s="11"/>
      <c r="I25" s="11"/>
      <c r="J25" s="11"/>
      <c r="K25" s="11"/>
      <c r="L25" s="11"/>
    </row>
    <row r="26" spans="1:26" ht="14.25" customHeight="1" x14ac:dyDescent="0.3">
      <c r="A26" s="22" t="s">
        <v>22</v>
      </c>
      <c r="B26" s="23">
        <v>19553861685</v>
      </c>
      <c r="C26" s="23">
        <v>-102948793684</v>
      </c>
      <c r="D26" s="23">
        <v>584832279876</v>
      </c>
      <c r="E26" s="23">
        <v>687851813973</v>
      </c>
      <c r="F26" s="23">
        <v>1038634292340</v>
      </c>
      <c r="H26" s="11"/>
      <c r="I26" s="11"/>
      <c r="J26" s="11"/>
      <c r="K26" s="11"/>
      <c r="L26" s="11"/>
    </row>
    <row r="27" spans="1:26" ht="14.25" customHeight="1" x14ac:dyDescent="0.3">
      <c r="A27" s="22" t="s">
        <v>23</v>
      </c>
      <c r="B27" s="23">
        <v>17216105725</v>
      </c>
      <c r="C27" s="23">
        <v>-51907644668</v>
      </c>
      <c r="D27" s="23">
        <v>-38890099092</v>
      </c>
      <c r="E27" s="23">
        <v>10118896452</v>
      </c>
      <c r="F27" s="23">
        <v>12938699592</v>
      </c>
      <c r="H27" s="11"/>
      <c r="I27" s="11"/>
      <c r="J27" s="11"/>
      <c r="K27" s="11"/>
      <c r="L27" s="11"/>
    </row>
    <row r="28" spans="1:26" ht="14.25" customHeight="1" x14ac:dyDescent="0.3">
      <c r="A28" s="33" t="s">
        <v>24</v>
      </c>
      <c r="B28" s="23">
        <v>-28</v>
      </c>
      <c r="C28" s="23">
        <v>-250</v>
      </c>
      <c r="D28" s="23">
        <v>810</v>
      </c>
      <c r="E28" s="34">
        <v>1000</v>
      </c>
      <c r="F28" s="23">
        <v>1541</v>
      </c>
      <c r="H28" s="11"/>
      <c r="I28" s="11"/>
      <c r="J28" s="11"/>
      <c r="K28" s="11"/>
      <c r="L28" s="11"/>
    </row>
    <row r="29" spans="1:26" ht="14.25" customHeight="1" x14ac:dyDescent="0.3"/>
    <row r="30" spans="1:26" ht="14.25" customHeight="1" x14ac:dyDescent="0.3">
      <c r="A30" s="35"/>
      <c r="B30" s="35"/>
      <c r="C30" s="35"/>
      <c r="D30" s="35"/>
    </row>
    <row r="31" spans="1:26" ht="14.25" customHeight="1" x14ac:dyDescent="0.3">
      <c r="A31" s="6" t="s">
        <v>25</v>
      </c>
    </row>
    <row r="32" spans="1:26" ht="14.25" customHeight="1" x14ac:dyDescent="0.3">
      <c r="A32" s="8" t="s">
        <v>26</v>
      </c>
      <c r="B32" s="9">
        <v>2021</v>
      </c>
      <c r="C32" s="9">
        <v>2022</v>
      </c>
      <c r="D32" s="9">
        <v>2023</v>
      </c>
      <c r="E32" s="9">
        <v>2024</v>
      </c>
      <c r="F32" s="9">
        <v>2025</v>
      </c>
    </row>
    <row r="33" spans="1:14" ht="14.25" customHeight="1" x14ac:dyDescent="0.3">
      <c r="A33" s="36" t="s">
        <v>27</v>
      </c>
      <c r="B33" s="37">
        <f t="shared" ref="B33:F33" si="17">SUM(B34:B38)</f>
        <v>5428797240960</v>
      </c>
      <c r="C33" s="37">
        <f t="shared" si="17"/>
        <v>5645895372740</v>
      </c>
      <c r="D33" s="37">
        <f t="shared" si="17"/>
        <v>6927879980560</v>
      </c>
      <c r="E33" s="37">
        <f t="shared" si="17"/>
        <v>7782381355167</v>
      </c>
      <c r="F33" s="37">
        <f t="shared" si="17"/>
        <v>9657061718516</v>
      </c>
    </row>
    <row r="34" spans="1:14" ht="14.25" customHeight="1" x14ac:dyDescent="0.3">
      <c r="A34" s="22" t="s">
        <v>28</v>
      </c>
      <c r="B34" s="23">
        <v>1130703090240</v>
      </c>
      <c r="C34" s="23">
        <v>2078586541400</v>
      </c>
      <c r="D34" s="23">
        <v>2256047157280</v>
      </c>
      <c r="E34" s="23">
        <v>2203268274194</v>
      </c>
      <c r="F34" s="23">
        <v>1821273980243</v>
      </c>
      <c r="H34" s="11">
        <f t="shared" ref="H34:L34" si="18">B34/B3</f>
        <v>0.28299612667495933</v>
      </c>
      <c r="I34" s="11">
        <f t="shared" si="18"/>
        <v>0.38268369831473215</v>
      </c>
      <c r="J34" s="11">
        <f t="shared" si="18"/>
        <v>0.38867795201324812</v>
      </c>
      <c r="K34" s="11">
        <f t="shared" si="18"/>
        <v>0.23721513840937414</v>
      </c>
      <c r="L34" s="11">
        <f t="shared" si="18"/>
        <v>0.16713552102391871</v>
      </c>
      <c r="M34" s="11">
        <f t="shared" ref="M34:M35" si="19">AVERAGE(H34:L34)</f>
        <v>0.29174168728724648</v>
      </c>
      <c r="N34" s="25">
        <v>0.15</v>
      </c>
    </row>
    <row r="35" spans="1:14" ht="14.25" customHeight="1" x14ac:dyDescent="0.35">
      <c r="A35" s="22" t="s">
        <v>29</v>
      </c>
      <c r="B35" s="23">
        <v>1544250741200</v>
      </c>
      <c r="C35" s="23">
        <v>424471711880</v>
      </c>
      <c r="D35" s="23">
        <v>1278224697680</v>
      </c>
      <c r="E35" s="23">
        <v>770247363138</v>
      </c>
      <c r="F35" s="23">
        <v>688956087159</v>
      </c>
      <c r="H35" s="11">
        <f t="shared" ref="H35:L35" si="20">B35/B3</f>
        <v>0.38650020694802822</v>
      </c>
      <c r="I35" s="11">
        <f t="shared" si="20"/>
        <v>7.8148492399462921E-2</v>
      </c>
      <c r="J35" s="11">
        <f t="shared" si="20"/>
        <v>0.22021603409478516</v>
      </c>
      <c r="K35" s="11">
        <f t="shared" si="20"/>
        <v>8.2928773130488034E-2</v>
      </c>
      <c r="L35" s="11">
        <f t="shared" si="20"/>
        <v>6.3224443899734556E-2</v>
      </c>
      <c r="M35" s="11">
        <f t="shared" si="19"/>
        <v>0.16620359009449978</v>
      </c>
      <c r="N35" s="38">
        <v>0.15</v>
      </c>
    </row>
    <row r="36" spans="1:14" ht="14.25" customHeight="1" x14ac:dyDescent="0.3">
      <c r="A36" s="22" t="s">
        <v>30</v>
      </c>
      <c r="B36" s="23">
        <v>1935799443760</v>
      </c>
      <c r="C36" s="23">
        <v>2163333176040</v>
      </c>
      <c r="D36" s="23">
        <v>2313956884400</v>
      </c>
      <c r="E36" s="23">
        <v>3469317637527</v>
      </c>
      <c r="F36" s="23">
        <v>5320195613823</v>
      </c>
      <c r="M36" s="11"/>
    </row>
    <row r="37" spans="1:14" ht="14.25" customHeight="1" x14ac:dyDescent="0.3">
      <c r="A37" s="22" t="s">
        <v>31</v>
      </c>
      <c r="B37" s="23">
        <v>757836145920</v>
      </c>
      <c r="C37" s="23">
        <v>908560921640</v>
      </c>
      <c r="D37" s="23">
        <v>999895512000</v>
      </c>
      <c r="E37" s="23">
        <v>1215947183667</v>
      </c>
      <c r="F37" s="23">
        <v>1536520885112</v>
      </c>
      <c r="M37" s="11"/>
    </row>
    <row r="38" spans="1:14" ht="14.25" customHeight="1" x14ac:dyDescent="0.3">
      <c r="A38" s="22" t="s">
        <v>32</v>
      </c>
      <c r="B38" s="23">
        <v>60207819840</v>
      </c>
      <c r="C38" s="23">
        <v>70943021780</v>
      </c>
      <c r="D38" s="23">
        <v>79755729200</v>
      </c>
      <c r="E38" s="23">
        <v>123600896641</v>
      </c>
      <c r="F38" s="23">
        <v>290115152179</v>
      </c>
      <c r="H38" s="11">
        <f t="shared" ref="H38:L38" si="21">B38/B3</f>
        <v>1.5069013216057636E-2</v>
      </c>
      <c r="I38" s="11">
        <f t="shared" si="21"/>
        <v>1.3061153530854373E-2</v>
      </c>
      <c r="J38" s="11">
        <f t="shared" si="21"/>
        <v>1.3740534361947231E-2</v>
      </c>
      <c r="K38" s="11">
        <f t="shared" si="21"/>
        <v>1.3307505103954446E-2</v>
      </c>
      <c r="L38" s="11">
        <f t="shared" si="21"/>
        <v>2.6623422748235349E-2</v>
      </c>
      <c r="M38" s="11">
        <f>AVERAGE(H38:L38)</f>
        <v>1.6360325792209807E-2</v>
      </c>
      <c r="N38" s="25">
        <v>0.03</v>
      </c>
    </row>
    <row r="39" spans="1:14" ht="14.25" customHeight="1" x14ac:dyDescent="0.3">
      <c r="A39" s="36" t="s">
        <v>33</v>
      </c>
      <c r="B39" s="37">
        <f t="shared" ref="B39:F39" si="22">SUM(B40:B41)+SUM(B48:B50)</f>
        <v>15332405243200</v>
      </c>
      <c r="C39" s="37">
        <f t="shared" si="22"/>
        <v>15058151318730</v>
      </c>
      <c r="D39" s="37">
        <f t="shared" si="22"/>
        <v>14704968227040</v>
      </c>
      <c r="E39" s="37">
        <f t="shared" si="22"/>
        <v>15832176406056</v>
      </c>
      <c r="F39" s="37">
        <f t="shared" si="22"/>
        <v>18652800964234</v>
      </c>
      <c r="H39" s="30"/>
    </row>
    <row r="40" spans="1:14" ht="14.25" customHeight="1" x14ac:dyDescent="0.3">
      <c r="A40" s="22" t="s">
        <v>34</v>
      </c>
      <c r="B40" s="23">
        <v>50362046080</v>
      </c>
      <c r="C40" s="23">
        <v>18645737260</v>
      </c>
      <c r="D40" s="23">
        <v>103902984640</v>
      </c>
      <c r="E40" s="23">
        <v>319500195972</v>
      </c>
      <c r="F40" s="23">
        <v>227517444064</v>
      </c>
      <c r="H40" s="11">
        <f t="shared" ref="H40:L40" si="23">B40/B3</f>
        <v>1.2604780242566307E-2</v>
      </c>
      <c r="I40" s="11">
        <f t="shared" si="23"/>
        <v>3.4328230027197461E-3</v>
      </c>
      <c r="J40" s="11">
        <f t="shared" si="23"/>
        <v>1.7900689330727044E-2</v>
      </c>
      <c r="K40" s="11">
        <f t="shared" si="23"/>
        <v>3.4399026254324727E-2</v>
      </c>
      <c r="L40" s="11">
        <f t="shared" si="23"/>
        <v>2.0878927041275436E-2</v>
      </c>
      <c r="M40" s="11">
        <f>AVERAGE(K40:L40)</f>
        <v>2.763897664780008E-2</v>
      </c>
    </row>
    <row r="41" spans="1:14" ht="14.25" customHeight="1" x14ac:dyDescent="0.35">
      <c r="A41" s="22" t="s">
        <v>35</v>
      </c>
      <c r="B41" s="23">
        <v>12961890042800</v>
      </c>
      <c r="C41" s="23">
        <v>13567184243890</v>
      </c>
      <c r="D41" s="23">
        <v>13115351781280</v>
      </c>
      <c r="E41" s="23">
        <v>12850927344986</v>
      </c>
      <c r="F41" s="23">
        <v>14607847812254</v>
      </c>
      <c r="H41" s="29">
        <f t="shared" ref="H41:L41" si="24">B41/B3</f>
        <v>3.2441449113936076</v>
      </c>
      <c r="I41" s="29">
        <f t="shared" si="24"/>
        <v>2.4978225052261891</v>
      </c>
      <c r="J41" s="29">
        <f t="shared" si="24"/>
        <v>2.2595485443784731</v>
      </c>
      <c r="K41" s="29">
        <f t="shared" si="24"/>
        <v>1.3835966071561774</v>
      </c>
      <c r="L41" s="29">
        <f t="shared" si="24"/>
        <v>1.3405397988574086</v>
      </c>
      <c r="M41" s="39">
        <f>AVERAGE(I41:L41)</f>
        <v>1.8703768639045621</v>
      </c>
      <c r="N41" s="38">
        <v>1.5</v>
      </c>
    </row>
    <row r="42" spans="1:14" ht="14.25" customHeight="1" x14ac:dyDescent="0.3">
      <c r="A42" s="15" t="s">
        <v>36</v>
      </c>
      <c r="B42" s="16">
        <v>12784902046560</v>
      </c>
      <c r="C42" s="16">
        <v>13396281716020</v>
      </c>
      <c r="D42" s="16">
        <v>12950566249040</v>
      </c>
      <c r="E42" s="16">
        <v>12689952977516</v>
      </c>
      <c r="F42" s="23">
        <v>14452833424755</v>
      </c>
      <c r="H42" s="30"/>
    </row>
    <row r="43" spans="1:14" ht="14.25" customHeight="1" x14ac:dyDescent="0.3">
      <c r="A43" s="15" t="s">
        <v>37</v>
      </c>
      <c r="B43" s="16">
        <v>23187118919200</v>
      </c>
      <c r="C43" s="16">
        <v>24822036561060</v>
      </c>
      <c r="D43" s="16">
        <v>25490804674720</v>
      </c>
      <c r="E43" s="16">
        <v>26578381033464</v>
      </c>
      <c r="F43" s="23">
        <v>29180690172632</v>
      </c>
      <c r="G43" s="11"/>
      <c r="H43" s="30"/>
    </row>
    <row r="44" spans="1:14" ht="14.25" customHeight="1" x14ac:dyDescent="0.3">
      <c r="A44" s="15" t="s">
        <v>38</v>
      </c>
      <c r="B44" s="16">
        <v>-10402216872640</v>
      </c>
      <c r="C44" s="16">
        <v>-11425754845040</v>
      </c>
      <c r="D44" s="16">
        <v>-12540238425680</v>
      </c>
      <c r="E44" s="16">
        <v>-13878428055948</v>
      </c>
      <c r="F44" s="23">
        <v>-14727856747877</v>
      </c>
      <c r="H44" s="28"/>
    </row>
    <row r="45" spans="1:14" ht="14.25" customHeight="1" x14ac:dyDescent="0.3">
      <c r="A45" s="15" t="s">
        <v>39</v>
      </c>
      <c r="B45" s="16">
        <v>176987996240</v>
      </c>
      <c r="C45" s="16">
        <v>170902527870</v>
      </c>
      <c r="D45" s="16">
        <v>164785532240</v>
      </c>
      <c r="E45" s="16">
        <v>160974367470</v>
      </c>
      <c r="F45" s="23">
        <v>155014387499</v>
      </c>
    </row>
    <row r="46" spans="1:14" ht="14.25" customHeight="1" x14ac:dyDescent="0.3">
      <c r="A46" s="15" t="s">
        <v>37</v>
      </c>
      <c r="B46" s="16">
        <v>311128502000</v>
      </c>
      <c r="C46" s="16">
        <v>318752854180</v>
      </c>
      <c r="D46" s="16">
        <v>327647289200</v>
      </c>
      <c r="E46" s="16">
        <v>342032824818</v>
      </c>
      <c r="F46" s="23">
        <v>351582370190</v>
      </c>
    </row>
    <row r="47" spans="1:14" ht="14.25" customHeight="1" x14ac:dyDescent="0.3">
      <c r="A47" s="15" t="s">
        <v>40</v>
      </c>
      <c r="B47" s="16">
        <v>-134140505760</v>
      </c>
      <c r="C47" s="16">
        <v>-147850326310</v>
      </c>
      <c r="D47" s="16">
        <v>-162861756960</v>
      </c>
      <c r="E47" s="16">
        <v>-181058457348</v>
      </c>
      <c r="F47" s="23">
        <v>-196567982691</v>
      </c>
    </row>
    <row r="48" spans="1:14" ht="14.25" customHeight="1" x14ac:dyDescent="0.3">
      <c r="A48" s="22" t="s">
        <v>41</v>
      </c>
      <c r="B48" s="23">
        <v>920902330720</v>
      </c>
      <c r="C48" s="23">
        <v>8178704880</v>
      </c>
      <c r="D48" s="23">
        <v>9226059360</v>
      </c>
      <c r="E48" s="23">
        <v>1222347781896</v>
      </c>
      <c r="F48" s="23">
        <v>2203939665047</v>
      </c>
      <c r="H48" s="11">
        <f t="shared" ref="H48:L48" si="25">B48/B3</f>
        <v>0.23048649542859714</v>
      </c>
      <c r="I48" s="11">
        <f t="shared" si="25"/>
        <v>1.5057621939546864E-3</v>
      </c>
      <c r="J48" s="11">
        <f t="shared" si="25"/>
        <v>1.5894906476692948E-3</v>
      </c>
      <c r="K48" s="11">
        <f t="shared" si="25"/>
        <v>0.13160421799879277</v>
      </c>
      <c r="L48" s="11">
        <f t="shared" si="25"/>
        <v>0.2022521642645792</v>
      </c>
      <c r="M48" s="11">
        <f t="shared" ref="M48:M50" si="26">AVERAGE(I48:L48)</f>
        <v>8.4237908776248982E-2</v>
      </c>
      <c r="N48" s="40">
        <v>0.2</v>
      </c>
    </row>
    <row r="49" spans="1:14" ht="14.25" customHeight="1" x14ac:dyDescent="0.3">
      <c r="A49" s="22" t="s">
        <v>42</v>
      </c>
      <c r="B49" s="23">
        <v>601847655280</v>
      </c>
      <c r="C49" s="23">
        <v>621891472460</v>
      </c>
      <c r="D49" s="23">
        <v>666088655120</v>
      </c>
      <c r="E49" s="23">
        <v>691384574209</v>
      </c>
      <c r="F49" s="23">
        <v>770410778053</v>
      </c>
      <c r="H49" s="28"/>
      <c r="I49" s="14">
        <f t="shared" ref="I49:L49" si="27">(C49-B49)/B49</f>
        <v>3.3303805380241837E-2</v>
      </c>
      <c r="J49" s="14">
        <f t="shared" si="27"/>
        <v>7.106896398686792E-2</v>
      </c>
      <c r="K49" s="14">
        <f t="shared" si="27"/>
        <v>3.7976805181350499E-2</v>
      </c>
      <c r="L49" s="14">
        <f t="shared" si="27"/>
        <v>0.11430136973248554</v>
      </c>
      <c r="M49" s="14">
        <f t="shared" si="26"/>
        <v>6.4162736070236454E-2</v>
      </c>
    </row>
    <row r="50" spans="1:14" ht="14.25" customHeight="1" x14ac:dyDescent="0.3">
      <c r="A50" s="22" t="s">
        <v>43</v>
      </c>
      <c r="B50" s="23">
        <v>797403168320</v>
      </c>
      <c r="C50" s="23">
        <v>842251160240</v>
      </c>
      <c r="D50" s="23">
        <v>810398746640</v>
      </c>
      <c r="E50" s="23">
        <v>748016508993</v>
      </c>
      <c r="F50" s="23">
        <v>843085264816</v>
      </c>
      <c r="I50" s="14">
        <f t="shared" ref="I50:L50" si="28">(C50-B50)/B50</f>
        <v>5.6242555462235611E-2</v>
      </c>
      <c r="J50" s="14">
        <f t="shared" si="28"/>
        <v>-3.7818189043424572E-2</v>
      </c>
      <c r="K50" s="14">
        <f t="shared" si="28"/>
        <v>-7.6977213878530099E-2</v>
      </c>
      <c r="L50" s="14">
        <f t="shared" si="28"/>
        <v>0.12709446206071592</v>
      </c>
      <c r="M50" s="14">
        <f t="shared" si="26"/>
        <v>1.7135403650249216E-2</v>
      </c>
    </row>
    <row r="51" spans="1:14" ht="14.25" customHeight="1" x14ac:dyDescent="0.3">
      <c r="A51" s="41" t="s">
        <v>44</v>
      </c>
      <c r="B51" s="42">
        <f t="shared" ref="B51:F51" si="29">B33+B39</f>
        <v>20761202484160</v>
      </c>
      <c r="C51" s="42">
        <f t="shared" si="29"/>
        <v>20704046691470</v>
      </c>
      <c r="D51" s="42">
        <f t="shared" si="29"/>
        <v>21632848207600</v>
      </c>
      <c r="E51" s="42">
        <f t="shared" si="29"/>
        <v>23614557761223</v>
      </c>
      <c r="F51" s="42">
        <f t="shared" si="29"/>
        <v>28309862682750</v>
      </c>
    </row>
    <row r="52" spans="1:14" ht="14.25" customHeight="1" x14ac:dyDescent="0.3">
      <c r="A52" s="36" t="s">
        <v>45</v>
      </c>
      <c r="B52" s="37">
        <f t="shared" ref="B52:F52" si="30">B53+B58</f>
        <v>6929622017040</v>
      </c>
      <c r="C52" s="37">
        <f t="shared" si="30"/>
        <v>6625537388340</v>
      </c>
      <c r="D52" s="37">
        <f t="shared" si="30"/>
        <v>6734690667600</v>
      </c>
      <c r="E52" s="37">
        <f t="shared" si="30"/>
        <v>7562215436820</v>
      </c>
      <c r="F52" s="37">
        <f t="shared" si="30"/>
        <v>11211575733628</v>
      </c>
    </row>
    <row r="53" spans="1:14" ht="14.25" customHeight="1" x14ac:dyDescent="0.3">
      <c r="A53" s="43" t="s">
        <v>46</v>
      </c>
      <c r="B53" s="43">
        <f t="shared" ref="B53:F53" si="31">SUM(B54:B57)</f>
        <v>3030445254960</v>
      </c>
      <c r="C53" s="43">
        <f t="shared" si="31"/>
        <v>2868228338410</v>
      </c>
      <c r="D53" s="43">
        <f t="shared" si="31"/>
        <v>3146135991040</v>
      </c>
      <c r="E53" s="43">
        <f t="shared" si="31"/>
        <v>4124097177363</v>
      </c>
      <c r="F53" s="43">
        <f t="shared" si="31"/>
        <v>6619272245050</v>
      </c>
    </row>
    <row r="54" spans="1:14" ht="14.25" customHeight="1" x14ac:dyDescent="0.3">
      <c r="A54" s="23" t="s">
        <v>47</v>
      </c>
      <c r="B54" s="23">
        <v>779809714880</v>
      </c>
      <c r="C54" s="23">
        <v>567815332270</v>
      </c>
      <c r="D54" s="23">
        <v>569419182080</v>
      </c>
      <c r="E54" s="23">
        <v>1172639294571</v>
      </c>
      <c r="F54" s="23">
        <v>2592727186371</v>
      </c>
      <c r="H54" s="11">
        <f t="shared" ref="H54:L54" si="32">B54/B3</f>
        <v>0.19517336669496746</v>
      </c>
      <c r="I54" s="11">
        <f t="shared" si="32"/>
        <v>0.10453915051645492</v>
      </c>
      <c r="J54" s="11">
        <f t="shared" si="32"/>
        <v>9.8101088363218514E-2</v>
      </c>
      <c r="K54" s="11">
        <f t="shared" si="32"/>
        <v>0.12625234785250561</v>
      </c>
      <c r="L54" s="11">
        <f t="shared" si="32"/>
        <v>0.23793059905746783</v>
      </c>
      <c r="M54" s="11">
        <f t="shared" ref="M54:M55" si="33">AVERAGE(H54:L54)</f>
        <v>0.15239931049692287</v>
      </c>
      <c r="N54" s="40">
        <v>0.2</v>
      </c>
    </row>
    <row r="55" spans="1:14" ht="14.25" customHeight="1" x14ac:dyDescent="0.3">
      <c r="A55" s="23" t="s">
        <v>48</v>
      </c>
      <c r="B55" s="23">
        <v>1204387845520</v>
      </c>
      <c r="C55" s="23">
        <v>1181819250020</v>
      </c>
      <c r="D55" s="23">
        <v>1693865773040</v>
      </c>
      <c r="E55" s="23">
        <v>2091489526988</v>
      </c>
      <c r="F55" s="23">
        <v>2774442492172</v>
      </c>
      <c r="H55" s="11">
        <f t="shared" ref="H55:L55" si="34">B55/B3</f>
        <v>0.30143819207588274</v>
      </c>
      <c r="I55" s="11">
        <f t="shared" si="34"/>
        <v>0.21758197329257309</v>
      </c>
      <c r="J55" s="11">
        <f t="shared" si="34"/>
        <v>0.29182381118499551</v>
      </c>
      <c r="K55" s="11">
        <f t="shared" si="34"/>
        <v>0.22518046641764961</v>
      </c>
      <c r="L55" s="11">
        <f t="shared" si="34"/>
        <v>0.25460633408829425</v>
      </c>
      <c r="M55" s="11">
        <f t="shared" si="33"/>
        <v>0.25812615541187905</v>
      </c>
      <c r="N55" s="25">
        <v>0.2</v>
      </c>
    </row>
    <row r="56" spans="1:14" ht="14.25" customHeight="1" x14ac:dyDescent="0.3">
      <c r="A56" s="23" t="s">
        <v>49</v>
      </c>
      <c r="B56" s="23">
        <v>748408238640</v>
      </c>
      <c r="C56" s="23">
        <v>835317024600</v>
      </c>
      <c r="D56" s="23">
        <v>553352813440</v>
      </c>
      <c r="E56" s="23">
        <v>507298751244</v>
      </c>
      <c r="F56" s="23">
        <v>821033901691</v>
      </c>
      <c r="H56" s="11">
        <f t="shared" ref="H56:L56" si="35">B56/B3</f>
        <v>0.18731410087664416</v>
      </c>
      <c r="I56" s="11">
        <f t="shared" si="35"/>
        <v>0.15378826037422647</v>
      </c>
      <c r="J56" s="11">
        <f t="shared" si="35"/>
        <v>9.5333130592861484E-2</v>
      </c>
      <c r="K56" s="11">
        <f t="shared" si="35"/>
        <v>5.4618379840861882E-2</v>
      </c>
      <c r="L56" s="11">
        <f t="shared" si="35"/>
        <v>7.5345022454621186E-2</v>
      </c>
      <c r="M56" s="11">
        <f>AVERAGE(J56:L56)</f>
        <v>7.5098844296114853E-2</v>
      </c>
      <c r="N56" s="25">
        <v>0.05</v>
      </c>
    </row>
    <row r="57" spans="1:14" ht="14.25" customHeight="1" x14ac:dyDescent="0.3">
      <c r="A57" s="23" t="s">
        <v>50</v>
      </c>
      <c r="B57" s="23">
        <v>297839455920</v>
      </c>
      <c r="C57" s="23">
        <v>283276731520</v>
      </c>
      <c r="D57" s="23">
        <v>329498222480</v>
      </c>
      <c r="E57" s="23">
        <v>352669604560</v>
      </c>
      <c r="F57" s="23">
        <v>431068664816</v>
      </c>
      <c r="H57" s="11">
        <f t="shared" ref="H57:L57" si="36">B57/B3</f>
        <v>7.4544248727972134E-2</v>
      </c>
      <c r="I57" s="11">
        <f t="shared" si="36"/>
        <v>5.215341536444678E-2</v>
      </c>
      <c r="J57" s="11">
        <f t="shared" si="36"/>
        <v>5.6766851655679851E-2</v>
      </c>
      <c r="K57" s="11">
        <f t="shared" si="36"/>
        <v>3.7970214539163931E-2</v>
      </c>
      <c r="L57" s="11">
        <f t="shared" si="36"/>
        <v>3.9558510511139247E-2</v>
      </c>
      <c r="M57" s="11">
        <f>AVERAGE(H57:L57)</f>
        <v>5.2198648159680394E-2</v>
      </c>
    </row>
    <row r="58" spans="1:14" ht="14.25" customHeight="1" x14ac:dyDescent="0.3">
      <c r="A58" s="43" t="s">
        <v>51</v>
      </c>
      <c r="B58" s="43">
        <f t="shared" ref="B58:F58" si="37">SUM(B59:B61)</f>
        <v>3899176762080</v>
      </c>
      <c r="C58" s="43">
        <f t="shared" si="37"/>
        <v>3757309049930</v>
      </c>
      <c r="D58" s="43">
        <f t="shared" si="37"/>
        <v>3588554676560</v>
      </c>
      <c r="E58" s="43">
        <f t="shared" si="37"/>
        <v>3438118259457</v>
      </c>
      <c r="F58" s="43">
        <f t="shared" si="37"/>
        <v>4592303488578</v>
      </c>
      <c r="I58" s="14"/>
      <c r="J58" s="14"/>
      <c r="K58" s="14"/>
      <c r="L58" s="14"/>
      <c r="M58" s="11"/>
    </row>
    <row r="59" spans="1:14" ht="14.25" customHeight="1" x14ac:dyDescent="0.3">
      <c r="A59" s="23" t="s">
        <v>52</v>
      </c>
      <c r="B59" s="23">
        <v>3205703464640</v>
      </c>
      <c r="C59" s="23">
        <v>2999752062520</v>
      </c>
      <c r="D59" s="23">
        <v>2787681809360</v>
      </c>
      <c r="E59" s="23">
        <v>2541390152379</v>
      </c>
      <c r="F59" s="23">
        <v>3588223884700</v>
      </c>
      <c r="H59" s="11">
        <f t="shared" ref="H59:L59" si="38">B59/B3</f>
        <v>0.80233411546532285</v>
      </c>
      <c r="I59" s="11">
        <f t="shared" si="38"/>
        <v>0.55227732425286025</v>
      </c>
      <c r="J59" s="11">
        <f t="shared" si="38"/>
        <v>0.48026941858474426</v>
      </c>
      <c r="K59" s="11">
        <f t="shared" si="38"/>
        <v>0.27361907027383758</v>
      </c>
      <c r="L59" s="11">
        <f t="shared" si="38"/>
        <v>0.32928580489564102</v>
      </c>
      <c r="M59" s="11">
        <f t="shared" ref="M59:M60" si="39">AVERAGE(H59:L59)</f>
        <v>0.48755714669448114</v>
      </c>
      <c r="N59" s="40">
        <v>0.3</v>
      </c>
    </row>
    <row r="60" spans="1:14" ht="14.25" customHeight="1" x14ac:dyDescent="0.3">
      <c r="A60" s="23" t="s">
        <v>53</v>
      </c>
      <c r="B60" s="23">
        <v>127557472960</v>
      </c>
      <c r="C60" s="23">
        <v>196173318540</v>
      </c>
      <c r="D60" s="23">
        <v>220314349360</v>
      </c>
      <c r="E60" s="23">
        <v>313524272919</v>
      </c>
      <c r="F60" s="23">
        <v>370015601719</v>
      </c>
      <c r="H60" s="11">
        <f t="shared" ref="H60:L60" si="40">B60/B3</f>
        <v>3.1925508197261351E-2</v>
      </c>
      <c r="I60" s="11">
        <f t="shared" si="40"/>
        <v>3.6117010071179137E-2</v>
      </c>
      <c r="J60" s="11">
        <f t="shared" si="40"/>
        <v>3.7956356467130477E-2</v>
      </c>
      <c r="K60" s="11">
        <f t="shared" si="40"/>
        <v>3.3755627794525386E-2</v>
      </c>
      <c r="L60" s="11">
        <f t="shared" si="40"/>
        <v>3.395576450943015E-2</v>
      </c>
      <c r="M60" s="11">
        <f t="shared" si="39"/>
        <v>3.4742053407905302E-2</v>
      </c>
    </row>
    <row r="61" spans="1:14" ht="14.25" customHeight="1" x14ac:dyDescent="0.3">
      <c r="A61" s="23" t="s">
        <v>54</v>
      </c>
      <c r="B61" s="23">
        <v>565915824480</v>
      </c>
      <c r="C61" s="23">
        <v>561383668870</v>
      </c>
      <c r="D61" s="23">
        <v>580558517840</v>
      </c>
      <c r="E61" s="23">
        <v>583203834159</v>
      </c>
      <c r="F61" s="23">
        <v>634064002159</v>
      </c>
      <c r="M61" s="11"/>
    </row>
    <row r="62" spans="1:14" ht="14.25" customHeight="1" x14ac:dyDescent="0.3">
      <c r="A62" s="36" t="s">
        <v>55</v>
      </c>
      <c r="B62" s="37">
        <f t="shared" ref="B62:F62" si="41">B63</f>
        <v>13831580467120</v>
      </c>
      <c r="C62" s="37">
        <f t="shared" si="41"/>
        <v>14078509303130</v>
      </c>
      <c r="D62" s="37">
        <f t="shared" si="41"/>
        <v>14898157540000</v>
      </c>
      <c r="E62" s="37">
        <f t="shared" si="41"/>
        <v>16052342324403</v>
      </c>
      <c r="F62" s="37">
        <f t="shared" si="41"/>
        <v>17098286949122</v>
      </c>
      <c r="I62" s="28"/>
      <c r="J62" s="28"/>
      <c r="K62" s="28"/>
      <c r="L62" s="28"/>
      <c r="M62" s="28"/>
    </row>
    <row r="63" spans="1:14" ht="14.25" customHeight="1" x14ac:dyDescent="0.3">
      <c r="A63" s="33" t="s">
        <v>56</v>
      </c>
      <c r="B63" s="43">
        <f t="shared" ref="B63:F63" si="42">SUM(B64:B70)</f>
        <v>13831580467120</v>
      </c>
      <c r="C63" s="43">
        <f t="shared" si="42"/>
        <v>14078509303130</v>
      </c>
      <c r="D63" s="43">
        <f t="shared" si="42"/>
        <v>14898157540000</v>
      </c>
      <c r="E63" s="43">
        <f t="shared" si="42"/>
        <v>16052342324403</v>
      </c>
      <c r="F63" s="43">
        <f t="shared" si="42"/>
        <v>17098286949122</v>
      </c>
      <c r="I63" s="28"/>
      <c r="J63" s="28"/>
      <c r="K63" s="28"/>
      <c r="L63" s="28"/>
      <c r="M63" s="28"/>
    </row>
    <row r="64" spans="1:14" ht="14.25" customHeight="1" x14ac:dyDescent="0.3">
      <c r="A64" s="22" t="s">
        <v>57</v>
      </c>
      <c r="B64" s="23">
        <v>4215457890000</v>
      </c>
      <c r="C64" s="23">
        <v>5562960060000</v>
      </c>
      <c r="D64" s="23">
        <v>5562960060000</v>
      </c>
      <c r="E64" s="23">
        <v>5562960060000</v>
      </c>
      <c r="F64" s="23">
        <v>5562960060000</v>
      </c>
      <c r="I64" s="28"/>
      <c r="J64" s="28"/>
      <c r="K64" s="28"/>
      <c r="L64" s="28"/>
      <c r="M64" s="28"/>
    </row>
    <row r="65" spans="1:14" ht="14.25" customHeight="1" x14ac:dyDescent="0.3">
      <c r="A65" s="22" t="s">
        <v>58</v>
      </c>
      <c r="B65" s="23">
        <v>2434086374663</v>
      </c>
      <c r="C65" s="23">
        <v>2434086374663</v>
      </c>
      <c r="D65" s="23">
        <v>2434086374663</v>
      </c>
      <c r="E65" s="23">
        <v>2434086374663</v>
      </c>
      <c r="F65" s="23">
        <v>2434086374663</v>
      </c>
      <c r="I65" s="28"/>
      <c r="J65" s="28"/>
      <c r="K65" s="28"/>
      <c r="L65" s="28"/>
      <c r="M65" s="28"/>
    </row>
    <row r="66" spans="1:14" ht="14.25" customHeight="1" x14ac:dyDescent="0.3">
      <c r="A66" s="22" t="s">
        <v>59</v>
      </c>
      <c r="B66" s="23">
        <v>-20948559850</v>
      </c>
      <c r="C66" s="23">
        <v>-20948559850</v>
      </c>
      <c r="D66" s="23">
        <v>-20948559850</v>
      </c>
      <c r="E66" s="23">
        <v>-20948559850</v>
      </c>
      <c r="F66" s="23">
        <v>-20948559850</v>
      </c>
      <c r="I66" s="28"/>
      <c r="J66" s="28"/>
      <c r="K66" s="28"/>
      <c r="L66" s="28"/>
      <c r="M66" s="28"/>
    </row>
    <row r="67" spans="1:14" ht="14.25" customHeight="1" x14ac:dyDescent="0.3">
      <c r="A67" s="22" t="s">
        <v>60</v>
      </c>
      <c r="B67" s="23">
        <v>1450764484622</v>
      </c>
      <c r="C67" s="23">
        <v>1846657584332</v>
      </c>
      <c r="D67" s="23">
        <v>2206837331099</v>
      </c>
      <c r="E67" s="23">
        <v>2792241545827</v>
      </c>
      <c r="F67" s="23">
        <v>3252855556290</v>
      </c>
      <c r="H67" s="11">
        <f t="shared" ref="H67:L67" si="43">B67/B3</f>
        <v>0.3631021560031954</v>
      </c>
      <c r="I67" s="11">
        <f t="shared" si="43"/>
        <v>0.33998380140436285</v>
      </c>
      <c r="J67" s="11">
        <f t="shared" si="43"/>
        <v>0.38019994906138643</v>
      </c>
      <c r="K67" s="11">
        <f t="shared" si="43"/>
        <v>0.30062701511374595</v>
      </c>
      <c r="L67" s="11">
        <f t="shared" si="43"/>
        <v>0.2985095675410353</v>
      </c>
      <c r="M67" s="11">
        <f t="shared" ref="M67:M68" si="44">AVERAGE(H67:L67)</f>
        <v>0.33648449782474527</v>
      </c>
      <c r="N67" s="11">
        <v>0.33650000000000002</v>
      </c>
    </row>
    <row r="68" spans="1:14" ht="14.25" customHeight="1" x14ac:dyDescent="0.3">
      <c r="A68" s="22" t="s">
        <v>61</v>
      </c>
      <c r="B68" s="23">
        <v>3589768966060</v>
      </c>
      <c r="C68" s="23">
        <v>3590590632136</v>
      </c>
      <c r="D68" s="23">
        <v>3784367536054</v>
      </c>
      <c r="E68" s="23">
        <v>4012253033539</v>
      </c>
      <c r="F68" s="23">
        <v>4320705423029</v>
      </c>
      <c r="H68" s="11">
        <f t="shared" ref="H68:L68" si="45">B68/B3</f>
        <v>0.89845930538433694</v>
      </c>
      <c r="I68" s="11">
        <f t="shared" si="45"/>
        <v>0.66105522905702985</v>
      </c>
      <c r="J68" s="11">
        <f t="shared" si="45"/>
        <v>0.65198115156080305</v>
      </c>
      <c r="K68" s="11">
        <f t="shared" si="45"/>
        <v>0.43197969572387218</v>
      </c>
      <c r="L68" s="11">
        <f t="shared" si="45"/>
        <v>0.39650451272162379</v>
      </c>
      <c r="M68" s="11">
        <f t="shared" si="44"/>
        <v>0.60799597888953316</v>
      </c>
      <c r="N68" s="25">
        <v>0.4</v>
      </c>
    </row>
    <row r="69" spans="1:14" ht="14.25" customHeight="1" x14ac:dyDescent="0.3">
      <c r="A69" s="22" t="s">
        <v>62</v>
      </c>
      <c r="B69" s="23">
        <v>1922901754595</v>
      </c>
      <c r="C69" s="23">
        <v>435921739099</v>
      </c>
      <c r="D69" s="23">
        <v>693559803718</v>
      </c>
      <c r="E69" s="23">
        <v>1021741898048</v>
      </c>
      <c r="F69" s="23">
        <v>1291401833485</v>
      </c>
      <c r="M69" s="11"/>
    </row>
    <row r="70" spans="1:14" ht="14.25" customHeight="1" x14ac:dyDescent="0.3">
      <c r="A70" s="22" t="s">
        <v>63</v>
      </c>
      <c r="B70" s="23">
        <v>239549557030</v>
      </c>
      <c r="C70" s="23">
        <v>229241472750</v>
      </c>
      <c r="D70" s="23">
        <v>237294994316</v>
      </c>
      <c r="E70" s="23">
        <v>250007972176</v>
      </c>
      <c r="F70" s="23">
        <v>257226261505</v>
      </c>
      <c r="I70" s="14">
        <f t="shared" ref="I70:L70" si="46">(C70-B70)/B70</f>
        <v>-4.3031113928167553E-2</v>
      </c>
      <c r="J70" s="14">
        <f t="shared" si="46"/>
        <v>3.5131171813674367E-2</v>
      </c>
      <c r="K70" s="14">
        <f t="shared" si="46"/>
        <v>5.3574572428908618E-2</v>
      </c>
      <c r="L70" s="14">
        <f t="shared" si="46"/>
        <v>2.8872236617792677E-2</v>
      </c>
      <c r="M70" s="14">
        <f>AVERAGE(H70:L70)</f>
        <v>1.8636716733052026E-2</v>
      </c>
    </row>
    <row r="71" spans="1:14" ht="14.25" customHeight="1" x14ac:dyDescent="0.3">
      <c r="A71" s="8" t="s">
        <v>64</v>
      </c>
      <c r="B71" s="44">
        <v>20761202484160</v>
      </c>
      <c r="C71" s="44">
        <v>20704046691470</v>
      </c>
      <c r="D71" s="44">
        <v>21632848207600</v>
      </c>
      <c r="E71" s="44">
        <v>23614557761223</v>
      </c>
      <c r="F71" s="44">
        <f>F52+F62</f>
        <v>28309862682750</v>
      </c>
    </row>
    <row r="72" spans="1:14" ht="14.25" customHeight="1" x14ac:dyDescent="0.3"/>
    <row r="73" spans="1:14" ht="14.25" customHeight="1" x14ac:dyDescent="0.3">
      <c r="A73" s="6" t="s">
        <v>65</v>
      </c>
    </row>
    <row r="74" spans="1:14" ht="14.25" customHeight="1" x14ac:dyDescent="0.3">
      <c r="A74" s="8" t="s">
        <v>2</v>
      </c>
      <c r="B74" s="9">
        <v>2021</v>
      </c>
      <c r="C74" s="9">
        <v>2022</v>
      </c>
      <c r="D74" s="9">
        <v>2023</v>
      </c>
      <c r="E74" s="9">
        <v>2024</v>
      </c>
      <c r="F74" s="9">
        <v>2025</v>
      </c>
    </row>
    <row r="75" spans="1:14" ht="14.25" customHeight="1" x14ac:dyDescent="0.3">
      <c r="A75" s="36" t="s">
        <v>66</v>
      </c>
      <c r="B75" s="23"/>
      <c r="C75" s="23"/>
      <c r="D75" s="23"/>
      <c r="E75" s="23"/>
      <c r="F75" s="23"/>
    </row>
    <row r="76" spans="1:14" ht="14.25" customHeight="1" x14ac:dyDescent="0.3">
      <c r="A76" s="22" t="s">
        <v>67</v>
      </c>
      <c r="B76" s="23">
        <v>62499280825</v>
      </c>
      <c r="C76" s="23">
        <v>-138517151872</v>
      </c>
      <c r="D76" s="23">
        <v>658379272200</v>
      </c>
      <c r="E76" s="23">
        <v>937210201749</v>
      </c>
      <c r="F76" s="23">
        <v>1386285215016</v>
      </c>
    </row>
    <row r="77" spans="1:14" ht="14.25" customHeight="1" x14ac:dyDescent="0.3">
      <c r="A77" s="22" t="s">
        <v>68</v>
      </c>
      <c r="B77" s="23"/>
      <c r="C77" s="23"/>
      <c r="D77" s="23"/>
      <c r="E77" s="23"/>
      <c r="F77" s="23"/>
    </row>
    <row r="78" spans="1:14" ht="14.25" customHeight="1" x14ac:dyDescent="0.3">
      <c r="A78" s="22" t="s">
        <v>15</v>
      </c>
      <c r="B78" s="23">
        <v>534408144380</v>
      </c>
      <c r="C78" s="23">
        <v>782954247460</v>
      </c>
      <c r="D78" s="23">
        <v>856743293328</v>
      </c>
      <c r="E78" s="23">
        <v>883531324989</v>
      </c>
      <c r="F78" s="23">
        <v>859603231390</v>
      </c>
    </row>
    <row r="79" spans="1:14" ht="14.25" customHeight="1" x14ac:dyDescent="0.3">
      <c r="A79" s="22" t="s">
        <v>69</v>
      </c>
      <c r="B79" s="23">
        <v>16008294070</v>
      </c>
      <c r="C79" s="23">
        <v>183461688036</v>
      </c>
      <c r="D79" s="23">
        <v>66093879696</v>
      </c>
      <c r="E79" s="23">
        <v>75472253109</v>
      </c>
      <c r="F79" s="23">
        <v>104549307214</v>
      </c>
    </row>
    <row r="80" spans="1:14" ht="14.25" customHeight="1" x14ac:dyDescent="0.3">
      <c r="A80" s="22" t="s">
        <v>70</v>
      </c>
      <c r="B80" s="23">
        <v>-28488189610</v>
      </c>
      <c r="C80" s="23">
        <v>53944806740</v>
      </c>
      <c r="D80" s="23">
        <v>9353983509</v>
      </c>
      <c r="E80" s="23">
        <v>18236811411</v>
      </c>
      <c r="F80" s="23">
        <v>-48152557924</v>
      </c>
    </row>
    <row r="81" spans="1:6" ht="14.25" customHeight="1" x14ac:dyDescent="0.3">
      <c r="A81" s="22" t="s">
        <v>71</v>
      </c>
      <c r="B81" s="23">
        <v>-226232807305</v>
      </c>
      <c r="C81" s="23">
        <v>-104184074280</v>
      </c>
      <c r="D81" s="23">
        <v>-135715107411</v>
      </c>
      <c r="E81" s="23">
        <v>-111172350777</v>
      </c>
      <c r="F81" s="23">
        <v>-212484791692</v>
      </c>
    </row>
    <row r="82" spans="1:6" ht="14.25" customHeight="1" x14ac:dyDescent="0.3">
      <c r="A82" s="22" t="s">
        <v>17</v>
      </c>
      <c r="B82" s="23">
        <v>109283560320</v>
      </c>
      <c r="C82" s="23">
        <v>168031934532</v>
      </c>
      <c r="D82" s="23">
        <v>250499968602</v>
      </c>
      <c r="E82" s="23">
        <v>237839369526</v>
      </c>
      <c r="F82" s="23">
        <v>190796075404</v>
      </c>
    </row>
    <row r="83" spans="1:6" ht="14.25" customHeight="1" x14ac:dyDescent="0.3">
      <c r="A83" s="22" t="s">
        <v>72</v>
      </c>
      <c r="B83" s="23">
        <v>-45806629114</v>
      </c>
      <c r="C83" s="23">
        <v>13483714425</v>
      </c>
      <c r="D83" s="23">
        <v>12243327089</v>
      </c>
      <c r="E83" s="23">
        <v>19304722759</v>
      </c>
      <c r="F83" s="23">
        <v>62323734751</v>
      </c>
    </row>
    <row r="84" spans="1:6" ht="14.25" customHeight="1" x14ac:dyDescent="0.3">
      <c r="A84" s="22" t="s">
        <v>73</v>
      </c>
      <c r="B84" s="23">
        <v>421671673566</v>
      </c>
      <c r="C84" s="23">
        <v>959175165041</v>
      </c>
      <c r="D84" s="23">
        <v>1717598617013</v>
      </c>
      <c r="E84" s="23">
        <v>2060422332766</v>
      </c>
      <c r="F84" s="23">
        <v>2342920214159</v>
      </c>
    </row>
    <row r="85" spans="1:6" ht="14.25" customHeight="1" x14ac:dyDescent="0.3">
      <c r="A85" s="22" t="s">
        <v>74</v>
      </c>
      <c r="B85" s="23">
        <v>-289168031115</v>
      </c>
      <c r="C85" s="23">
        <v>-357421018900</v>
      </c>
      <c r="D85" s="23">
        <v>-197882299251</v>
      </c>
      <c r="E85" s="23">
        <v>-1228820483457</v>
      </c>
      <c r="F85" s="23">
        <v>-1611880575912</v>
      </c>
    </row>
    <row r="86" spans="1:6" ht="14.25" customHeight="1" x14ac:dyDescent="0.3">
      <c r="A86" s="22" t="s">
        <v>75</v>
      </c>
      <c r="B86" s="23">
        <v>194840802085</v>
      </c>
      <c r="C86" s="23">
        <v>-131585768556</v>
      </c>
      <c r="D86" s="23">
        <v>-60897561504</v>
      </c>
      <c r="E86" s="23">
        <v>-156519759495</v>
      </c>
      <c r="F86" s="23">
        <v>-277182084310</v>
      </c>
    </row>
    <row r="87" spans="1:6" ht="14.25" customHeight="1" x14ac:dyDescent="0.3">
      <c r="A87" s="22" t="s">
        <v>76</v>
      </c>
      <c r="B87" s="23">
        <v>271446221480</v>
      </c>
      <c r="C87" s="23">
        <v>-440004429832</v>
      </c>
      <c r="D87" s="23">
        <v>250953685320</v>
      </c>
      <c r="E87" s="23">
        <v>587368994181</v>
      </c>
      <c r="F87" s="23">
        <v>1549230049540</v>
      </c>
    </row>
    <row r="88" spans="1:6" ht="14.25" customHeight="1" x14ac:dyDescent="0.3">
      <c r="A88" s="22" t="s">
        <v>77</v>
      </c>
      <c r="B88" s="23">
        <v>-796489572515</v>
      </c>
      <c r="C88" s="23">
        <v>32091319480</v>
      </c>
      <c r="D88" s="23">
        <v>63988095327</v>
      </c>
      <c r="E88" s="23">
        <v>153249916470</v>
      </c>
      <c r="F88" s="23">
        <v>-70327403460</v>
      </c>
    </row>
    <row r="89" spans="1:6" ht="14.25" customHeight="1" x14ac:dyDescent="0.3">
      <c r="A89" s="22" t="s">
        <v>78</v>
      </c>
      <c r="B89" s="23">
        <v>-78251640215</v>
      </c>
      <c r="C89" s="23">
        <v>-36033016976</v>
      </c>
      <c r="D89" s="23">
        <v>-33246077124</v>
      </c>
      <c r="E89" s="23">
        <v>-44802903096</v>
      </c>
      <c r="F89" s="23">
        <v>-81492577996</v>
      </c>
    </row>
    <row r="90" spans="1:6" ht="14.25" customHeight="1" x14ac:dyDescent="0.3">
      <c r="A90" s="22" t="s">
        <v>79</v>
      </c>
      <c r="B90" s="23">
        <v>-47125091870</v>
      </c>
      <c r="C90" s="23">
        <v>-47938993564</v>
      </c>
      <c r="D90" s="23">
        <v>-36997134993</v>
      </c>
      <c r="E90" s="23">
        <v>-213840723033</v>
      </c>
      <c r="F90" s="23">
        <v>-279008605508</v>
      </c>
    </row>
    <row r="91" spans="1:6" ht="14.25" customHeight="1" x14ac:dyDescent="0.3">
      <c r="A91" s="22" t="s">
        <v>80</v>
      </c>
      <c r="B91" s="23">
        <v>-53326872355</v>
      </c>
      <c r="C91" s="23">
        <v>-61782650600</v>
      </c>
      <c r="D91" s="23">
        <v>-87458052006</v>
      </c>
      <c r="E91" s="23">
        <v>-120162287265</v>
      </c>
      <c r="F91" s="23">
        <v>-140219014972</v>
      </c>
    </row>
    <row r="92" spans="1:6" ht="14.25" customHeight="1" x14ac:dyDescent="0.3">
      <c r="A92" s="22" t="s">
        <v>81</v>
      </c>
      <c r="B92" s="23">
        <v>-376402510939</v>
      </c>
      <c r="C92" s="23">
        <v>-83499393907</v>
      </c>
      <c r="D92" s="23">
        <v>1616059272782</v>
      </c>
      <c r="E92" s="23">
        <v>1036895087071</v>
      </c>
      <c r="F92" s="23">
        <v>1432040001541</v>
      </c>
    </row>
    <row r="93" spans="1:6" ht="14.25" customHeight="1" x14ac:dyDescent="0.3">
      <c r="A93" s="36" t="s">
        <v>82</v>
      </c>
      <c r="B93" s="23"/>
      <c r="C93" s="23"/>
      <c r="D93" s="23"/>
      <c r="E93" s="23"/>
      <c r="F93" s="23"/>
    </row>
    <row r="94" spans="1:6" ht="14.25" customHeight="1" x14ac:dyDescent="0.3">
      <c r="A94" s="22" t="s">
        <v>83</v>
      </c>
      <c r="B94" s="23">
        <v>-608266399100</v>
      </c>
      <c r="C94" s="23">
        <v>-155013877216</v>
      </c>
      <c r="D94" s="23">
        <v>-148568930913</v>
      </c>
      <c r="E94" s="23">
        <v>-1371384408053</v>
      </c>
      <c r="F94" s="23">
        <v>-3049031710020</v>
      </c>
    </row>
    <row r="95" spans="1:6" ht="14.25" customHeight="1" x14ac:dyDescent="0.3">
      <c r="A95" s="22" t="s">
        <v>84</v>
      </c>
      <c r="B95" s="23">
        <v>17171920</v>
      </c>
      <c r="C95" s="23">
        <v>501714180</v>
      </c>
      <c r="D95" s="23">
        <v>3050644818</v>
      </c>
      <c r="E95" s="23">
        <v>1310547615</v>
      </c>
      <c r="F95" s="23">
        <v>748502744</v>
      </c>
    </row>
    <row r="96" spans="1:6" ht="14.25" customHeight="1" x14ac:dyDescent="0.3">
      <c r="A96" s="22" t="s">
        <v>85</v>
      </c>
      <c r="B96" s="23">
        <v>-557756520548</v>
      </c>
      <c r="C96" s="23">
        <v>-786881691814</v>
      </c>
      <c r="D96" s="23">
        <v>-1889960981336</v>
      </c>
      <c r="E96" s="23">
        <v>-1101089999748</v>
      </c>
      <c r="F96" s="23">
        <v>-1389054473645</v>
      </c>
    </row>
    <row r="97" spans="1:6" ht="14.25" customHeight="1" x14ac:dyDescent="0.3">
      <c r="A97" s="22" t="s">
        <v>86</v>
      </c>
      <c r="B97" s="23">
        <v>1299307601463</v>
      </c>
      <c r="C97" s="23">
        <v>1906660721134</v>
      </c>
      <c r="D97" s="23">
        <v>1036207999104</v>
      </c>
      <c r="E97" s="23">
        <v>1651468571463</v>
      </c>
      <c r="F97" s="23">
        <v>1506356325546</v>
      </c>
    </row>
    <row r="98" spans="1:6" ht="14.25" customHeight="1" x14ac:dyDescent="0.3">
      <c r="A98" s="22" t="s">
        <v>87</v>
      </c>
      <c r="B98" s="23">
        <v>323723460225</v>
      </c>
      <c r="C98" s="23">
        <v>242587592720</v>
      </c>
      <c r="D98" s="23">
        <v>105119175291</v>
      </c>
      <c r="E98" s="23">
        <v>61834875864</v>
      </c>
      <c r="F98" s="23">
        <v>62363861902</v>
      </c>
    </row>
    <row r="99" spans="1:6" ht="14.25" customHeight="1" x14ac:dyDescent="0.3">
      <c r="A99" s="22" t="s">
        <v>88</v>
      </c>
      <c r="B99" s="23">
        <v>457025313960</v>
      </c>
      <c r="C99" s="23">
        <v>1207854459004</v>
      </c>
      <c r="D99" s="23">
        <v>-894152093036</v>
      </c>
      <c r="E99" s="23">
        <v>-757840412859</v>
      </c>
      <c r="F99" s="23">
        <v>-2868617493473</v>
      </c>
    </row>
    <row r="100" spans="1:6" ht="14.25" customHeight="1" x14ac:dyDescent="0.3">
      <c r="A100" s="36" t="s">
        <v>89</v>
      </c>
      <c r="B100" s="23"/>
      <c r="C100" s="23"/>
      <c r="D100" s="23"/>
      <c r="E100" s="23"/>
      <c r="F100" s="23"/>
    </row>
    <row r="101" spans="1:6" ht="14.25" customHeight="1" x14ac:dyDescent="0.3">
      <c r="A101" s="22" t="s">
        <v>90</v>
      </c>
      <c r="B101" s="23" t="s">
        <v>91</v>
      </c>
      <c r="C101" s="23" t="s">
        <v>91</v>
      </c>
      <c r="D101" s="23" t="s">
        <v>91</v>
      </c>
      <c r="E101" s="23" t="s">
        <v>91</v>
      </c>
      <c r="F101" s="23">
        <v>9725837524</v>
      </c>
    </row>
    <row r="102" spans="1:6" ht="14.25" customHeight="1" x14ac:dyDescent="0.3">
      <c r="A102" s="22" t="s">
        <v>92</v>
      </c>
      <c r="B102" s="23">
        <v>346154280725</v>
      </c>
      <c r="C102" s="23">
        <v>76067038696</v>
      </c>
      <c r="D102" s="23">
        <v>22355621223</v>
      </c>
      <c r="E102" s="23">
        <v>27071565537</v>
      </c>
      <c r="F102" s="23">
        <v>1816914079062</v>
      </c>
    </row>
    <row r="103" spans="1:6" ht="14.25" customHeight="1" x14ac:dyDescent="0.3">
      <c r="A103" s="22" t="s">
        <v>93</v>
      </c>
      <c r="B103" s="23">
        <v>-192159813240</v>
      </c>
      <c r="C103" s="23">
        <v>-310713488668</v>
      </c>
      <c r="D103" s="23">
        <v>-608566190505</v>
      </c>
      <c r="E103" s="23">
        <v>-462170763312</v>
      </c>
      <c r="F103" s="23">
        <v>-565367644260</v>
      </c>
    </row>
    <row r="104" spans="1:6" ht="14.25" customHeight="1" x14ac:dyDescent="0.3">
      <c r="A104" s="22" t="s">
        <v>94</v>
      </c>
      <c r="B104" s="23">
        <v>-2792342000</v>
      </c>
      <c r="C104" s="23">
        <v>-3490427500</v>
      </c>
      <c r="D104" s="23">
        <v>-3490427500</v>
      </c>
      <c r="E104" s="23">
        <v>-3490427500</v>
      </c>
      <c r="F104" s="23">
        <v>-281430430500</v>
      </c>
    </row>
    <row r="105" spans="1:6" ht="14.25" customHeight="1" x14ac:dyDescent="0.3">
      <c r="A105" s="22" t="s">
        <v>95</v>
      </c>
      <c r="B105" s="23">
        <v>151202125485</v>
      </c>
      <c r="C105" s="23">
        <v>-238136877472</v>
      </c>
      <c r="D105" s="23">
        <v>-589700996782</v>
      </c>
      <c r="E105" s="23">
        <v>-438589625275</v>
      </c>
      <c r="F105" s="23">
        <v>979841841826</v>
      </c>
    </row>
    <row r="106" spans="1:6" ht="14.25" customHeight="1" x14ac:dyDescent="0.3">
      <c r="A106" s="22" t="s">
        <v>96</v>
      </c>
      <c r="B106" s="23">
        <v>231824928506</v>
      </c>
      <c r="C106" s="23">
        <v>886218187625</v>
      </c>
      <c r="D106" s="23">
        <v>132206182964</v>
      </c>
      <c r="E106" s="23">
        <v>-159534951063</v>
      </c>
      <c r="F106" s="23">
        <v>-456735650106</v>
      </c>
    </row>
    <row r="107" spans="1:6" ht="14.25" customHeight="1" x14ac:dyDescent="0.3">
      <c r="A107" s="22" t="s">
        <v>97</v>
      </c>
      <c r="B107" s="23">
        <v>925196651735</v>
      </c>
      <c r="C107" s="23">
        <v>1130703090240</v>
      </c>
      <c r="D107" s="23">
        <v>2078586541400</v>
      </c>
      <c r="E107" s="23">
        <v>2256047157280</v>
      </c>
      <c r="F107" s="23">
        <v>2203268278194</v>
      </c>
    </row>
    <row r="108" spans="1:6" ht="14.25" customHeight="1" x14ac:dyDescent="0.3">
      <c r="A108" s="22" t="s">
        <v>98</v>
      </c>
      <c r="B108" s="23">
        <v>4312047225</v>
      </c>
      <c r="C108" s="23">
        <v>-1634463996</v>
      </c>
      <c r="D108" s="23">
        <v>-1147122561</v>
      </c>
      <c r="E108" s="23">
        <v>-472010946</v>
      </c>
      <c r="F108" s="23">
        <v>1370207120</v>
      </c>
    </row>
    <row r="109" spans="1:6" ht="14.25" customHeight="1" x14ac:dyDescent="0.3">
      <c r="A109" s="22" t="s">
        <v>99</v>
      </c>
      <c r="B109" s="23">
        <v>-30630537226</v>
      </c>
      <c r="C109" s="23">
        <v>63299727531</v>
      </c>
      <c r="D109" s="23">
        <v>46401555477</v>
      </c>
      <c r="E109" s="23">
        <v>107228082923</v>
      </c>
      <c r="F109" s="23">
        <v>73371145035</v>
      </c>
    </row>
    <row r="110" spans="1:6" ht="14.25" customHeight="1" x14ac:dyDescent="0.3">
      <c r="A110" s="22" t="s">
        <v>100</v>
      </c>
      <c r="B110" s="23">
        <v>1130703090240</v>
      </c>
      <c r="C110" s="23">
        <v>2078586541400</v>
      </c>
      <c r="D110" s="23">
        <v>2256047157280</v>
      </c>
      <c r="E110" s="23">
        <v>2203268278194</v>
      </c>
      <c r="F110" s="23">
        <v>1821273980243</v>
      </c>
    </row>
    <row r="111" spans="1:6" ht="14.25" customHeight="1" x14ac:dyDescent="0.3"/>
    <row r="112" spans="1:6" ht="14.25" customHeight="1" x14ac:dyDescent="0.3"/>
    <row r="113" spans="1:1" ht="14.25" customHeight="1" x14ac:dyDescent="0.3"/>
    <row r="114" spans="1:1" ht="14.25" customHeight="1" x14ac:dyDescent="0.3">
      <c r="A114" s="22"/>
    </row>
    <row r="115" spans="1:1" ht="14.25" customHeight="1" x14ac:dyDescent="0.3">
      <c r="A115" s="22"/>
    </row>
    <row r="116" spans="1:1" ht="14.25" customHeight="1" x14ac:dyDescent="0.3">
      <c r="A116" s="22"/>
    </row>
    <row r="117" spans="1:1" ht="14.25" customHeight="1" x14ac:dyDescent="0.3"/>
    <row r="118" spans="1:1" ht="14.25" customHeight="1" x14ac:dyDescent="0.3"/>
    <row r="119" spans="1:1" ht="14.25" customHeight="1" x14ac:dyDescent="0.3"/>
    <row r="120" spans="1:1" ht="14.25" customHeight="1" x14ac:dyDescent="0.3"/>
    <row r="121" spans="1:1" ht="14.25" customHeight="1" x14ac:dyDescent="0.3"/>
    <row r="122" spans="1:1" ht="14.25" customHeight="1" x14ac:dyDescent="0.3"/>
    <row r="123" spans="1:1" ht="14.25" customHeight="1" x14ac:dyDescent="0.3"/>
    <row r="124" spans="1:1" ht="14.25" customHeight="1" x14ac:dyDescent="0.3"/>
    <row r="125" spans="1:1" ht="14.25" customHeight="1" x14ac:dyDescent="0.3"/>
    <row r="126" spans="1:1" ht="14.25" customHeight="1" x14ac:dyDescent="0.3"/>
    <row r="127" spans="1:1" ht="14.25" customHeight="1" x14ac:dyDescent="0.3"/>
    <row r="128" spans="1:1" ht="14.25" customHeight="1" x14ac:dyDescent="0.3"/>
    <row r="129" s="7" customFormat="1" ht="14.25" customHeight="1" x14ac:dyDescent="0.3"/>
    <row r="130" s="7" customFormat="1" ht="14.25" customHeight="1" x14ac:dyDescent="0.3"/>
    <row r="131" s="7" customFormat="1" ht="14.25" customHeight="1" x14ac:dyDescent="0.3"/>
    <row r="132" s="7" customFormat="1" ht="14.25" customHeight="1" x14ac:dyDescent="0.3"/>
    <row r="133" s="7" customFormat="1" ht="14.25" customHeight="1" x14ac:dyDescent="0.3"/>
    <row r="134" s="7" customFormat="1" ht="14.25" customHeight="1" x14ac:dyDescent="0.3"/>
    <row r="135" s="7" customFormat="1" ht="14.25" customHeight="1" x14ac:dyDescent="0.3"/>
    <row r="136" s="7" customFormat="1" ht="14.25" customHeight="1" x14ac:dyDescent="0.3"/>
    <row r="137" s="7" customFormat="1" ht="14.25" customHeight="1" x14ac:dyDescent="0.3"/>
    <row r="138" s="7" customFormat="1" ht="14.25" customHeight="1" x14ac:dyDescent="0.3"/>
    <row r="139" s="7" customFormat="1" ht="14.25" customHeight="1" x14ac:dyDescent="0.3"/>
    <row r="140" s="7" customFormat="1" ht="14.25" customHeight="1" x14ac:dyDescent="0.3"/>
    <row r="141" s="7" customFormat="1" ht="14.25" customHeight="1" x14ac:dyDescent="0.3"/>
    <row r="142" s="7" customFormat="1" ht="14.25" customHeight="1" x14ac:dyDescent="0.3"/>
    <row r="143" s="7" customFormat="1" ht="14.25" customHeight="1" x14ac:dyDescent="0.3"/>
    <row r="144" s="7" customFormat="1" ht="14.25" customHeight="1" x14ac:dyDescent="0.3"/>
    <row r="145" s="7" customFormat="1" ht="14.25" customHeight="1" x14ac:dyDescent="0.3"/>
    <row r="146" s="7" customFormat="1" ht="14.25" customHeight="1" x14ac:dyDescent="0.3"/>
    <row r="147" s="7" customFormat="1" ht="14.25" customHeight="1" x14ac:dyDescent="0.3"/>
    <row r="148" s="7" customFormat="1" ht="14.25" customHeight="1" x14ac:dyDescent="0.3"/>
    <row r="149" s="7" customFormat="1" ht="14.25" customHeight="1" x14ac:dyDescent="0.3"/>
    <row r="150" s="7" customFormat="1" ht="14.25" customHeight="1" x14ac:dyDescent="0.3"/>
    <row r="151" s="7" customFormat="1" ht="14.25" customHeight="1" x14ac:dyDescent="0.3"/>
    <row r="152" s="7" customFormat="1" ht="14.25" customHeight="1" x14ac:dyDescent="0.3"/>
    <row r="153" s="7" customFormat="1" ht="14.25" customHeight="1" x14ac:dyDescent="0.3"/>
    <row r="154" s="7" customFormat="1" ht="14.25" customHeight="1" x14ac:dyDescent="0.3"/>
    <row r="155" s="7" customFormat="1" ht="14.25" customHeight="1" x14ac:dyDescent="0.3"/>
    <row r="156" s="7" customFormat="1" ht="14.25" customHeight="1" x14ac:dyDescent="0.3"/>
    <row r="157" s="7" customFormat="1" ht="14.25" customHeight="1" x14ac:dyDescent="0.3"/>
    <row r="158" s="7" customFormat="1" ht="14.25" customHeight="1" x14ac:dyDescent="0.3"/>
    <row r="159" s="7" customFormat="1" ht="14.25" customHeight="1" x14ac:dyDescent="0.3"/>
    <row r="160" s="7" customFormat="1" ht="14.25" customHeight="1" x14ac:dyDescent="0.3"/>
    <row r="161" s="7" customFormat="1" ht="14.25" customHeight="1" x14ac:dyDescent="0.3"/>
    <row r="162" s="7" customFormat="1" ht="14.25" customHeight="1" x14ac:dyDescent="0.3"/>
    <row r="163" s="7" customFormat="1" ht="14.25" customHeight="1" x14ac:dyDescent="0.3"/>
    <row r="164" s="7" customFormat="1" ht="14.25" customHeight="1" x14ac:dyDescent="0.3"/>
    <row r="165" s="7" customFormat="1" ht="14.25" customHeight="1" x14ac:dyDescent="0.3"/>
    <row r="166" s="7" customFormat="1" ht="14.25" customHeight="1" x14ac:dyDescent="0.3"/>
    <row r="167" s="7" customFormat="1" ht="14.25" customHeight="1" x14ac:dyDescent="0.3"/>
    <row r="168" s="7" customFormat="1" ht="14.25" customHeight="1" x14ac:dyDescent="0.3"/>
    <row r="169" s="7" customFormat="1" ht="14.25" customHeight="1" x14ac:dyDescent="0.3"/>
    <row r="170" s="7" customFormat="1" ht="14.25" customHeight="1" x14ac:dyDescent="0.3"/>
    <row r="171" s="7" customFormat="1" ht="14.25" customHeight="1" x14ac:dyDescent="0.3"/>
    <row r="172" s="7" customFormat="1" ht="14.25" customHeight="1" x14ac:dyDescent="0.3"/>
    <row r="173" s="7" customFormat="1" ht="14.25" customHeight="1" x14ac:dyDescent="0.3"/>
    <row r="174" s="7" customFormat="1" ht="14.25" customHeight="1" x14ac:dyDescent="0.3"/>
    <row r="175" s="7" customFormat="1" ht="14.25" customHeight="1" x14ac:dyDescent="0.3"/>
    <row r="176" s="7" customFormat="1" ht="14.25" customHeight="1" x14ac:dyDescent="0.3"/>
    <row r="177" s="7" customFormat="1" ht="14.25" customHeight="1" x14ac:dyDescent="0.3"/>
    <row r="178" s="7" customFormat="1" ht="14.25" customHeight="1" x14ac:dyDescent="0.3"/>
    <row r="179" s="7" customFormat="1" ht="14.25" customHeight="1" x14ac:dyDescent="0.3"/>
    <row r="180" s="7" customFormat="1" ht="14.25" customHeight="1" x14ac:dyDescent="0.3"/>
    <row r="181" s="7" customFormat="1" ht="14.25" customHeight="1" x14ac:dyDescent="0.3"/>
    <row r="182" s="7" customFormat="1" ht="14.25" customHeight="1" x14ac:dyDescent="0.3"/>
    <row r="183" s="7" customFormat="1" ht="14.25" customHeight="1" x14ac:dyDescent="0.3"/>
    <row r="184" s="7" customFormat="1" ht="14.25" customHeight="1" x14ac:dyDescent="0.3"/>
    <row r="185" s="7" customFormat="1" ht="14.25" customHeight="1" x14ac:dyDescent="0.3"/>
    <row r="186" s="7" customFormat="1" ht="14.25" customHeight="1" x14ac:dyDescent="0.3"/>
    <row r="187" s="7" customFormat="1" ht="14.25" customHeight="1" x14ac:dyDescent="0.3"/>
    <row r="188" s="7" customFormat="1" ht="14.25" customHeight="1" x14ac:dyDescent="0.3"/>
    <row r="189" s="7" customFormat="1" ht="14.25" customHeight="1" x14ac:dyDescent="0.3"/>
    <row r="190" s="7" customFormat="1" ht="14.25" customHeight="1" x14ac:dyDescent="0.3"/>
    <row r="191" s="7" customFormat="1" ht="14.25" customHeight="1" x14ac:dyDescent="0.3"/>
    <row r="192" s="7" customFormat="1" ht="14.25" customHeight="1" x14ac:dyDescent="0.3"/>
    <row r="193" s="7" customFormat="1" ht="14.25" customHeight="1" x14ac:dyDescent="0.3"/>
    <row r="194" s="7" customFormat="1" ht="14.25" customHeight="1" x14ac:dyDescent="0.3"/>
    <row r="195" s="7" customFormat="1" ht="14.25" customHeight="1" x14ac:dyDescent="0.3"/>
    <row r="196" s="7" customFormat="1" ht="14.25" customHeight="1" x14ac:dyDescent="0.3"/>
    <row r="197" s="7" customFormat="1" ht="14.25" customHeight="1" x14ac:dyDescent="0.3"/>
    <row r="198" s="7" customFormat="1" ht="14.25" customHeight="1" x14ac:dyDescent="0.3"/>
    <row r="199" s="7" customFormat="1" ht="14.25" customHeight="1" x14ac:dyDescent="0.3"/>
    <row r="200" s="7" customFormat="1" ht="14.25" customHeight="1" x14ac:dyDescent="0.3"/>
    <row r="201" s="7" customFormat="1" ht="14.25" customHeight="1" x14ac:dyDescent="0.3"/>
    <row r="202" s="7" customFormat="1" ht="14.25" customHeight="1" x14ac:dyDescent="0.3"/>
    <row r="203" s="7" customFormat="1" ht="14.25" customHeight="1" x14ac:dyDescent="0.3"/>
    <row r="204" s="7" customFormat="1" ht="14.25" customHeight="1" x14ac:dyDescent="0.3"/>
    <row r="205" s="7" customFormat="1" ht="14.25" customHeight="1" x14ac:dyDescent="0.3"/>
    <row r="206" s="7" customFormat="1" ht="14.25" customHeight="1" x14ac:dyDescent="0.3"/>
    <row r="207" s="7" customFormat="1" ht="14.25" customHeight="1" x14ac:dyDescent="0.3"/>
    <row r="208" s="7" customFormat="1" ht="14.25" customHeight="1" x14ac:dyDescent="0.3"/>
    <row r="209" s="7" customFormat="1" ht="14.25" customHeight="1" x14ac:dyDescent="0.3"/>
    <row r="210" s="7" customFormat="1" ht="14.25" customHeight="1" x14ac:dyDescent="0.3"/>
    <row r="211" s="7" customFormat="1" ht="14.25" customHeight="1" x14ac:dyDescent="0.3"/>
    <row r="212" s="7" customFormat="1" ht="14.25" customHeight="1" x14ac:dyDescent="0.3"/>
    <row r="213" s="7" customFormat="1" ht="14.25" customHeight="1" x14ac:dyDescent="0.3"/>
    <row r="214" s="7" customFormat="1" ht="14.25" customHeight="1" x14ac:dyDescent="0.3"/>
    <row r="215" s="7" customFormat="1" ht="14.25" customHeight="1" x14ac:dyDescent="0.3"/>
    <row r="216" s="7" customFormat="1" ht="14.25" customHeight="1" x14ac:dyDescent="0.3"/>
    <row r="217" s="7" customFormat="1" ht="14.25" customHeight="1" x14ac:dyDescent="0.3"/>
    <row r="218" s="7" customFormat="1" ht="14.25" customHeight="1" x14ac:dyDescent="0.3"/>
    <row r="219" s="7" customFormat="1" ht="14.25" customHeight="1" x14ac:dyDescent="0.3"/>
    <row r="220" s="7" customFormat="1" ht="14.25" customHeight="1" x14ac:dyDescent="0.3"/>
    <row r="221" s="7" customFormat="1" ht="14.25" customHeight="1" x14ac:dyDescent="0.3"/>
    <row r="222" s="7" customFormat="1" ht="14.25" customHeight="1" x14ac:dyDescent="0.3"/>
    <row r="223" s="7" customFormat="1" ht="14.25" customHeight="1" x14ac:dyDescent="0.3"/>
    <row r="224" s="7" customFormat="1" ht="14.25" customHeight="1" x14ac:dyDescent="0.3"/>
    <row r="225" s="7" customFormat="1" ht="14.25" customHeight="1" x14ac:dyDescent="0.3"/>
    <row r="226" s="7" customFormat="1" ht="14.25" customHeight="1" x14ac:dyDescent="0.3"/>
    <row r="227" s="7" customFormat="1" ht="14.25" customHeight="1" x14ac:dyDescent="0.3"/>
    <row r="228" s="7" customFormat="1" ht="14.25" customHeight="1" x14ac:dyDescent="0.3"/>
    <row r="229" s="7" customFormat="1" ht="14.25" customHeight="1" x14ac:dyDescent="0.3"/>
    <row r="230" s="7" customFormat="1" ht="14.25" customHeight="1" x14ac:dyDescent="0.3"/>
    <row r="231" s="7" customFormat="1" ht="14.25" customHeight="1" x14ac:dyDescent="0.3"/>
    <row r="232" s="7" customFormat="1" ht="14.25" customHeight="1" x14ac:dyDescent="0.3"/>
    <row r="233" s="7" customFormat="1" ht="14.25" customHeight="1" x14ac:dyDescent="0.3"/>
    <row r="234" s="7" customFormat="1" ht="14.25" customHeight="1" x14ac:dyDescent="0.3"/>
    <row r="235" s="7" customFormat="1" ht="14.25" customHeight="1" x14ac:dyDescent="0.3"/>
    <row r="236" s="7" customFormat="1" ht="14.25" customHeight="1" x14ac:dyDescent="0.3"/>
    <row r="237" s="7" customFormat="1" ht="14.25" customHeight="1" x14ac:dyDescent="0.3"/>
    <row r="238" s="7" customFormat="1" ht="14.25" customHeight="1" x14ac:dyDescent="0.3"/>
    <row r="239" s="7" customFormat="1" ht="14.25" customHeight="1" x14ac:dyDescent="0.3"/>
    <row r="240" s="7" customFormat="1" ht="14.25" customHeight="1" x14ac:dyDescent="0.3"/>
    <row r="241" s="7" customFormat="1" ht="14.25" customHeight="1" x14ac:dyDescent="0.3"/>
    <row r="242" s="7" customFormat="1" ht="14.25" customHeight="1" x14ac:dyDescent="0.3"/>
    <row r="243" s="7" customFormat="1" ht="14.25" customHeight="1" x14ac:dyDescent="0.3"/>
    <row r="244" s="7" customFormat="1" ht="14.25" customHeight="1" x14ac:dyDescent="0.3"/>
    <row r="245" s="7" customFormat="1" ht="14.25" customHeight="1" x14ac:dyDescent="0.3"/>
    <row r="246" s="7" customFormat="1" ht="14.25" customHeight="1" x14ac:dyDescent="0.3"/>
    <row r="247" s="7" customFormat="1" ht="14.25" customHeight="1" x14ac:dyDescent="0.3"/>
    <row r="248" s="7" customFormat="1" ht="14.25" customHeight="1" x14ac:dyDescent="0.3"/>
    <row r="249" s="7" customFormat="1" ht="14.25" customHeight="1" x14ac:dyDescent="0.3"/>
    <row r="250" s="7" customFormat="1" ht="14.25" customHeight="1" x14ac:dyDescent="0.3"/>
    <row r="251" s="7" customFormat="1" ht="14.25" customHeight="1" x14ac:dyDescent="0.3"/>
    <row r="252" s="7" customFormat="1" ht="14.25" customHeight="1" x14ac:dyDescent="0.3"/>
    <row r="253" s="7" customFormat="1" ht="14.25" customHeight="1" x14ac:dyDescent="0.3"/>
    <row r="254" s="7" customFormat="1" ht="14.25" customHeight="1" x14ac:dyDescent="0.3"/>
    <row r="255" s="7" customFormat="1" ht="14.25" customHeight="1" x14ac:dyDescent="0.3"/>
    <row r="256" s="7" customFormat="1" ht="14.25" customHeight="1" x14ac:dyDescent="0.3"/>
    <row r="257" s="7" customFormat="1" ht="14.25" customHeight="1" x14ac:dyDescent="0.3"/>
    <row r="258" s="7" customFormat="1" ht="14.25" customHeight="1" x14ac:dyDescent="0.3"/>
    <row r="259" s="7" customFormat="1" ht="14.25" customHeight="1" x14ac:dyDescent="0.3"/>
    <row r="260" s="7" customFormat="1" ht="14.25" customHeight="1" x14ac:dyDescent="0.3"/>
    <row r="261" s="7" customFormat="1" ht="14.25" customHeight="1" x14ac:dyDescent="0.3"/>
    <row r="262" s="7" customFormat="1" ht="14.25" customHeight="1" x14ac:dyDescent="0.3"/>
    <row r="263" s="7" customFormat="1" ht="14.25" customHeight="1" x14ac:dyDescent="0.3"/>
    <row r="264" s="7" customFormat="1" ht="14.25" customHeight="1" x14ac:dyDescent="0.3"/>
    <row r="265" s="7" customFormat="1" ht="14.25" customHeight="1" x14ac:dyDescent="0.3"/>
    <row r="266" s="7" customFormat="1" ht="14.25" customHeight="1" x14ac:dyDescent="0.3"/>
    <row r="267" s="7" customFormat="1" ht="14.25" customHeight="1" x14ac:dyDescent="0.3"/>
    <row r="268" s="7" customFormat="1" ht="14.25" customHeight="1" x14ac:dyDescent="0.3"/>
    <row r="269" s="7" customFormat="1" ht="14.25" customHeight="1" x14ac:dyDescent="0.3"/>
    <row r="270" s="7" customFormat="1" ht="14.25" customHeight="1" x14ac:dyDescent="0.3"/>
    <row r="271" s="7" customFormat="1" ht="14.25" customHeight="1" x14ac:dyDescent="0.3"/>
    <row r="272" s="7" customFormat="1" ht="14.25" customHeight="1" x14ac:dyDescent="0.3"/>
    <row r="273" s="7" customFormat="1" ht="14.25" customHeight="1" x14ac:dyDescent="0.3"/>
    <row r="274" s="7" customFormat="1" ht="14.25" customHeight="1" x14ac:dyDescent="0.3"/>
    <row r="275" s="7" customFormat="1" ht="14.25" customHeight="1" x14ac:dyDescent="0.3"/>
    <row r="276" s="7" customFormat="1" ht="14.25" customHeight="1" x14ac:dyDescent="0.3"/>
    <row r="277" s="7" customFormat="1" ht="14.25" customHeight="1" x14ac:dyDescent="0.3"/>
    <row r="278" s="7" customFormat="1" ht="14.25" customHeight="1" x14ac:dyDescent="0.3"/>
    <row r="279" s="7" customFormat="1" ht="14.25" customHeight="1" x14ac:dyDescent="0.3"/>
    <row r="280" s="7" customFormat="1" ht="14.25" customHeight="1" x14ac:dyDescent="0.3"/>
    <row r="281" s="7" customFormat="1" ht="14.25" customHeight="1" x14ac:dyDescent="0.3"/>
    <row r="282" s="7" customFormat="1" ht="14.25" customHeight="1" x14ac:dyDescent="0.3"/>
    <row r="283" s="7" customFormat="1" ht="14.25" customHeight="1" x14ac:dyDescent="0.3"/>
    <row r="284" s="7" customFormat="1" ht="14.25" customHeight="1" x14ac:dyDescent="0.3"/>
    <row r="285" s="7" customFormat="1" ht="14.25" customHeight="1" x14ac:dyDescent="0.3"/>
    <row r="286" s="7" customFormat="1" ht="14.25" customHeight="1" x14ac:dyDescent="0.3"/>
    <row r="287" s="7" customFormat="1" ht="14.25" customHeight="1" x14ac:dyDescent="0.3"/>
    <row r="288" s="7" customFormat="1" ht="14.25" customHeight="1" x14ac:dyDescent="0.3"/>
    <row r="289" s="7" customFormat="1" ht="14.25" customHeight="1" x14ac:dyDescent="0.3"/>
    <row r="290" s="7" customFormat="1" ht="14.25" customHeight="1" x14ac:dyDescent="0.3"/>
    <row r="291" s="7" customFormat="1" ht="14.25" customHeight="1" x14ac:dyDescent="0.3"/>
    <row r="292" s="7" customFormat="1" ht="14.25" customHeight="1" x14ac:dyDescent="0.3"/>
    <row r="293" s="7" customFormat="1" ht="14.25" customHeight="1" x14ac:dyDescent="0.3"/>
    <row r="294" s="7" customFormat="1" ht="14.25" customHeight="1" x14ac:dyDescent="0.3"/>
    <row r="295" s="7" customFormat="1" ht="14.25" customHeight="1" x14ac:dyDescent="0.3"/>
    <row r="296" s="7" customFormat="1" ht="14.25" customHeight="1" x14ac:dyDescent="0.3"/>
    <row r="297" s="7" customFormat="1" ht="14.25" customHeight="1" x14ac:dyDescent="0.3"/>
    <row r="298" s="7" customFormat="1" ht="14.25" customHeight="1" x14ac:dyDescent="0.3"/>
    <row r="299" s="7" customFormat="1" ht="14.25" customHeight="1" x14ac:dyDescent="0.3"/>
    <row r="300" s="7" customFormat="1" ht="14.25" customHeight="1" x14ac:dyDescent="0.3"/>
    <row r="301" s="7" customFormat="1" ht="14.25" customHeight="1" x14ac:dyDescent="0.3"/>
    <row r="302" s="7" customFormat="1" ht="14.25" customHeight="1" x14ac:dyDescent="0.3"/>
    <row r="303" s="7" customFormat="1" ht="14.25" customHeight="1" x14ac:dyDescent="0.3"/>
    <row r="304" s="7" customFormat="1" ht="14.25" customHeight="1" x14ac:dyDescent="0.3"/>
    <row r="305" s="7" customFormat="1" ht="14.25" customHeight="1" x14ac:dyDescent="0.3"/>
    <row r="306" s="7" customFormat="1" ht="14.25" customHeight="1" x14ac:dyDescent="0.3"/>
    <row r="307" s="7" customFormat="1" ht="14.25" customHeight="1" x14ac:dyDescent="0.3"/>
    <row r="308" s="7" customFormat="1" ht="14.25" customHeight="1" x14ac:dyDescent="0.3"/>
    <row r="309" s="7" customFormat="1" ht="14.25" customHeight="1" x14ac:dyDescent="0.3"/>
    <row r="310" s="7" customFormat="1" ht="14.25" customHeight="1" x14ac:dyDescent="0.3"/>
    <row r="311" s="7" customFormat="1" ht="14.25" customHeight="1" x14ac:dyDescent="0.3"/>
    <row r="312" s="7" customFormat="1" ht="14.25" customHeight="1" x14ac:dyDescent="0.3"/>
    <row r="313" s="7" customFormat="1" ht="14.25" customHeight="1" x14ac:dyDescent="0.3"/>
    <row r="314" s="7" customFormat="1" ht="14.25" customHeight="1" x14ac:dyDescent="0.3"/>
    <row r="315" s="7" customFormat="1" ht="14.25" customHeight="1" x14ac:dyDescent="0.3"/>
    <row r="316" s="7" customFormat="1" ht="14.25" customHeight="1" x14ac:dyDescent="0.3"/>
    <row r="317" s="7" customFormat="1" ht="14.25" customHeight="1" x14ac:dyDescent="0.3"/>
    <row r="318" s="7" customFormat="1" ht="14.25" customHeight="1" x14ac:dyDescent="0.3"/>
    <row r="319" s="7" customFormat="1" ht="14.25" customHeight="1" x14ac:dyDescent="0.3"/>
    <row r="320" s="7" customFormat="1" ht="14.25" customHeight="1" x14ac:dyDescent="0.3"/>
    <row r="321" s="7" customFormat="1" ht="14.25" customHeight="1" x14ac:dyDescent="0.3"/>
    <row r="322" s="7" customFormat="1" ht="14.25" customHeight="1" x14ac:dyDescent="0.3"/>
    <row r="323" s="7" customFormat="1" ht="14.25" customHeight="1" x14ac:dyDescent="0.3"/>
    <row r="324" s="7" customFormat="1" ht="14.25" customHeight="1" x14ac:dyDescent="0.3"/>
    <row r="325" s="7" customFormat="1" ht="14.25" customHeight="1" x14ac:dyDescent="0.3"/>
    <row r="326" s="7" customFormat="1" ht="14.25" customHeight="1" x14ac:dyDescent="0.3"/>
    <row r="327" s="7" customFormat="1" ht="14.25" customHeight="1" x14ac:dyDescent="0.3"/>
    <row r="328" s="7" customFormat="1" ht="14.25" customHeight="1" x14ac:dyDescent="0.3"/>
    <row r="329" s="7" customFormat="1" ht="14.25" customHeight="1" x14ac:dyDescent="0.3"/>
    <row r="330" s="7" customFormat="1" ht="14.25" customHeight="1" x14ac:dyDescent="0.3"/>
    <row r="331" s="7" customFormat="1" ht="14.25" customHeight="1" x14ac:dyDescent="0.3"/>
    <row r="332" s="7" customFormat="1" ht="14.25" customHeight="1" x14ac:dyDescent="0.3"/>
    <row r="333" s="7" customFormat="1" ht="14.25" customHeight="1" x14ac:dyDescent="0.3"/>
    <row r="334" s="7" customFormat="1" ht="14.25" customHeight="1" x14ac:dyDescent="0.3"/>
    <row r="335" s="7" customFormat="1" ht="14.25" customHeight="1" x14ac:dyDescent="0.3"/>
    <row r="336" s="7" customFormat="1" ht="14.25" customHeight="1" x14ac:dyDescent="0.3"/>
    <row r="337" s="7" customFormat="1" ht="14.25" customHeight="1" x14ac:dyDescent="0.3"/>
    <row r="338" s="7" customFormat="1" ht="14.25" customHeight="1" x14ac:dyDescent="0.3"/>
    <row r="339" s="7" customFormat="1" ht="14.25" customHeight="1" x14ac:dyDescent="0.3"/>
    <row r="340" s="7" customFormat="1" ht="14.25" customHeight="1" x14ac:dyDescent="0.3"/>
    <row r="341" s="7" customFormat="1" ht="14.25" customHeight="1" x14ac:dyDescent="0.3"/>
    <row r="342" s="7" customFormat="1" ht="14.25" customHeight="1" x14ac:dyDescent="0.3"/>
    <row r="343" s="7" customFormat="1" ht="14.25" customHeight="1" x14ac:dyDescent="0.3"/>
    <row r="344" s="7" customFormat="1" ht="14.25" customHeight="1" x14ac:dyDescent="0.3"/>
    <row r="345" s="7" customFormat="1" ht="14.25" customHeight="1" x14ac:dyDescent="0.3"/>
    <row r="346" s="7" customFormat="1" ht="14.25" customHeight="1" x14ac:dyDescent="0.3"/>
    <row r="347" s="7" customFormat="1" ht="14.25" customHeight="1" x14ac:dyDescent="0.3"/>
    <row r="348" s="7" customFormat="1" ht="14.25" customHeight="1" x14ac:dyDescent="0.3"/>
    <row r="349" s="7" customFormat="1" ht="14.25" customHeight="1" x14ac:dyDescent="0.3"/>
    <row r="350" s="7" customFormat="1" ht="14.25" customHeight="1" x14ac:dyDescent="0.3"/>
    <row r="351" s="7" customFormat="1" ht="14.25" customHeight="1" x14ac:dyDescent="0.3"/>
    <row r="352" s="7" customFormat="1" ht="14.25" customHeight="1" x14ac:dyDescent="0.3"/>
    <row r="353" s="7" customFormat="1" ht="14.25" customHeight="1" x14ac:dyDescent="0.3"/>
    <row r="354" s="7" customFormat="1" ht="14.25" customHeight="1" x14ac:dyDescent="0.3"/>
    <row r="355" s="7" customFormat="1" ht="14.25" customHeight="1" x14ac:dyDescent="0.3"/>
    <row r="356" s="7" customFormat="1" ht="14.25" customHeight="1" x14ac:dyDescent="0.3"/>
    <row r="357" s="7" customFormat="1" ht="14.25" customHeight="1" x14ac:dyDescent="0.3"/>
    <row r="358" s="7" customFormat="1" ht="14.25" customHeight="1" x14ac:dyDescent="0.3"/>
    <row r="359" s="7" customFormat="1" ht="14.25" customHeight="1" x14ac:dyDescent="0.3"/>
    <row r="360" s="7" customFormat="1" ht="14.25" customHeight="1" x14ac:dyDescent="0.3"/>
    <row r="361" s="7" customFormat="1" ht="14.25" customHeight="1" x14ac:dyDescent="0.3"/>
    <row r="362" s="7" customFormat="1" ht="14.25" customHeight="1" x14ac:dyDescent="0.3"/>
    <row r="363" s="7" customFormat="1" ht="14.25" customHeight="1" x14ac:dyDescent="0.3"/>
    <row r="364" s="7" customFormat="1" ht="14.25" customHeight="1" x14ac:dyDescent="0.3"/>
    <row r="365" s="7" customFormat="1" ht="14.25" customHeight="1" x14ac:dyDescent="0.3"/>
    <row r="366" s="7" customFormat="1" ht="14.25" customHeight="1" x14ac:dyDescent="0.3"/>
    <row r="367" s="7" customFormat="1" ht="14.25" customHeight="1" x14ac:dyDescent="0.3"/>
    <row r="368" s="7" customFormat="1" ht="14.25" customHeight="1" x14ac:dyDescent="0.3"/>
    <row r="369" s="7" customFormat="1" ht="14.25" customHeight="1" x14ac:dyDescent="0.3"/>
    <row r="370" s="7" customFormat="1" ht="14.25" customHeight="1" x14ac:dyDescent="0.3"/>
    <row r="371" s="7" customFormat="1" ht="14.25" customHeight="1" x14ac:dyDescent="0.3"/>
    <row r="372" s="7" customFormat="1" ht="14.25" customHeight="1" x14ac:dyDescent="0.3"/>
    <row r="373" s="7" customFormat="1" ht="14.25" customHeight="1" x14ac:dyDescent="0.3"/>
    <row r="374" s="7" customFormat="1" ht="14.25" customHeight="1" x14ac:dyDescent="0.3"/>
    <row r="375" s="7" customFormat="1" ht="14.25" customHeight="1" x14ac:dyDescent="0.3"/>
    <row r="376" s="7" customFormat="1" ht="14.25" customHeight="1" x14ac:dyDescent="0.3"/>
    <row r="377" s="7" customFormat="1" ht="14.25" customHeight="1" x14ac:dyDescent="0.3"/>
    <row r="378" s="7" customFormat="1" ht="14.25" customHeight="1" x14ac:dyDescent="0.3"/>
    <row r="379" s="7" customFormat="1" ht="14.25" customHeight="1" x14ac:dyDescent="0.3"/>
    <row r="380" s="7" customFormat="1" ht="14.25" customHeight="1" x14ac:dyDescent="0.3"/>
    <row r="381" s="7" customFormat="1" ht="14.25" customHeight="1" x14ac:dyDescent="0.3"/>
    <row r="382" s="7" customFormat="1" ht="14.25" customHeight="1" x14ac:dyDescent="0.3"/>
    <row r="383" s="7" customFormat="1" ht="14.25" customHeight="1" x14ac:dyDescent="0.3"/>
    <row r="384" s="7" customFormat="1" ht="14.25" customHeight="1" x14ac:dyDescent="0.3"/>
    <row r="385" s="7" customFormat="1" ht="14.25" customHeight="1" x14ac:dyDescent="0.3"/>
    <row r="386" s="7" customFormat="1" ht="14.25" customHeight="1" x14ac:dyDescent="0.3"/>
    <row r="387" s="7" customFormat="1" ht="14.25" customHeight="1" x14ac:dyDescent="0.3"/>
    <row r="388" s="7" customFormat="1" ht="14.25" customHeight="1" x14ac:dyDescent="0.3"/>
    <row r="389" s="7" customFormat="1" ht="14.25" customHeight="1" x14ac:dyDescent="0.3"/>
    <row r="390" s="7" customFormat="1" ht="14.25" customHeight="1" x14ac:dyDescent="0.3"/>
    <row r="391" s="7" customFormat="1" ht="14.25" customHeight="1" x14ac:dyDescent="0.3"/>
    <row r="392" s="7" customFormat="1" ht="14.25" customHeight="1" x14ac:dyDescent="0.3"/>
    <row r="393" s="7" customFormat="1" ht="14.25" customHeight="1" x14ac:dyDescent="0.3"/>
    <row r="394" s="7" customFormat="1" ht="14.25" customHeight="1" x14ac:dyDescent="0.3"/>
    <row r="395" s="7" customFormat="1" ht="14.25" customHeight="1" x14ac:dyDescent="0.3"/>
    <row r="396" s="7" customFormat="1" ht="14.25" customHeight="1" x14ac:dyDescent="0.3"/>
    <row r="397" s="7" customFormat="1" ht="14.25" customHeight="1" x14ac:dyDescent="0.3"/>
    <row r="398" s="7" customFormat="1" ht="14.25" customHeight="1" x14ac:dyDescent="0.3"/>
    <row r="399" s="7" customFormat="1" ht="14.25" customHeight="1" x14ac:dyDescent="0.3"/>
    <row r="400" s="7" customFormat="1" ht="14.25" customHeight="1" x14ac:dyDescent="0.3"/>
    <row r="401" s="7" customFormat="1" ht="14.25" customHeight="1" x14ac:dyDescent="0.3"/>
    <row r="402" s="7" customFormat="1" ht="14.25" customHeight="1" x14ac:dyDescent="0.3"/>
    <row r="403" s="7" customFormat="1" ht="14.25" customHeight="1" x14ac:dyDescent="0.3"/>
    <row r="404" s="7" customFormat="1" ht="14.25" customHeight="1" x14ac:dyDescent="0.3"/>
    <row r="405" s="7" customFormat="1" ht="14.25" customHeight="1" x14ac:dyDescent="0.3"/>
    <row r="406" s="7" customFormat="1" ht="14.25" customHeight="1" x14ac:dyDescent="0.3"/>
    <row r="407" s="7" customFormat="1" ht="14.25" customHeight="1" x14ac:dyDescent="0.3"/>
    <row r="408" s="7" customFormat="1" ht="14.25" customHeight="1" x14ac:dyDescent="0.3"/>
    <row r="409" s="7" customFormat="1" ht="14.25" customHeight="1" x14ac:dyDescent="0.3"/>
    <row r="410" s="7" customFormat="1" ht="14.25" customHeight="1" x14ac:dyDescent="0.3"/>
    <row r="411" s="7" customFormat="1" ht="14.25" customHeight="1" x14ac:dyDescent="0.3"/>
    <row r="412" s="7" customFormat="1" ht="14.25" customHeight="1" x14ac:dyDescent="0.3"/>
    <row r="413" s="7" customFormat="1" ht="14.25" customHeight="1" x14ac:dyDescent="0.3"/>
    <row r="414" s="7" customFormat="1" ht="14.25" customHeight="1" x14ac:dyDescent="0.3"/>
    <row r="415" s="7" customFormat="1" ht="14.25" customHeight="1" x14ac:dyDescent="0.3"/>
    <row r="416" s="7" customFormat="1" ht="14.25" customHeight="1" x14ac:dyDescent="0.3"/>
    <row r="417" s="7" customFormat="1" ht="14.25" customHeight="1" x14ac:dyDescent="0.3"/>
    <row r="418" s="7" customFormat="1" ht="14.25" customHeight="1" x14ac:dyDescent="0.3"/>
    <row r="419" s="7" customFormat="1" ht="14.25" customHeight="1" x14ac:dyDescent="0.3"/>
    <row r="420" s="7" customFormat="1" ht="14.25" customHeight="1" x14ac:dyDescent="0.3"/>
    <row r="421" s="7" customFormat="1" ht="14.25" customHeight="1" x14ac:dyDescent="0.3"/>
    <row r="422" s="7" customFormat="1" ht="14.25" customHeight="1" x14ac:dyDescent="0.3"/>
    <row r="423" s="7" customFormat="1" ht="14.25" customHeight="1" x14ac:dyDescent="0.3"/>
    <row r="424" s="7" customFormat="1" ht="14.25" customHeight="1" x14ac:dyDescent="0.3"/>
    <row r="425" s="7" customFormat="1" ht="14.25" customHeight="1" x14ac:dyDescent="0.3"/>
    <row r="426" s="7" customFormat="1" ht="14.25" customHeight="1" x14ac:dyDescent="0.3"/>
    <row r="427" s="7" customFormat="1" ht="14.25" customHeight="1" x14ac:dyDescent="0.3"/>
    <row r="428" s="7" customFormat="1" ht="14.25" customHeight="1" x14ac:dyDescent="0.3"/>
    <row r="429" s="7" customFormat="1" ht="14.25" customHeight="1" x14ac:dyDescent="0.3"/>
    <row r="430" s="7" customFormat="1" ht="14.25" customHeight="1" x14ac:dyDescent="0.3"/>
    <row r="431" s="7" customFormat="1" ht="14.25" customHeight="1" x14ac:dyDescent="0.3"/>
    <row r="432" s="7" customFormat="1" ht="14.25" customHeight="1" x14ac:dyDescent="0.3"/>
    <row r="433" s="7" customFormat="1" ht="14.25" customHeight="1" x14ac:dyDescent="0.3"/>
    <row r="434" s="7" customFormat="1" ht="14.25" customHeight="1" x14ac:dyDescent="0.3"/>
    <row r="435" s="7" customFormat="1" ht="14.25" customHeight="1" x14ac:dyDescent="0.3"/>
    <row r="436" s="7" customFormat="1" ht="14.25" customHeight="1" x14ac:dyDescent="0.3"/>
    <row r="437" s="7" customFormat="1" ht="14.25" customHeight="1" x14ac:dyDescent="0.3"/>
    <row r="438" s="7" customFormat="1" ht="14.25" customHeight="1" x14ac:dyDescent="0.3"/>
    <row r="439" s="7" customFormat="1" ht="14.25" customHeight="1" x14ac:dyDescent="0.3"/>
    <row r="440" s="7" customFormat="1" ht="14.25" customHeight="1" x14ac:dyDescent="0.3"/>
    <row r="441" s="7" customFormat="1" ht="14.25" customHeight="1" x14ac:dyDescent="0.3"/>
    <row r="442" s="7" customFormat="1" ht="14.25" customHeight="1" x14ac:dyDescent="0.3"/>
    <row r="443" s="7" customFormat="1" ht="14.25" customHeight="1" x14ac:dyDescent="0.3"/>
    <row r="444" s="7" customFormat="1" ht="14.25" customHeight="1" x14ac:dyDescent="0.3"/>
    <row r="445" s="7" customFormat="1" ht="14.25" customHeight="1" x14ac:dyDescent="0.3"/>
    <row r="446" s="7" customFormat="1" ht="14.25" customHeight="1" x14ac:dyDescent="0.3"/>
    <row r="447" s="7" customFormat="1" ht="14.25" customHeight="1" x14ac:dyDescent="0.3"/>
    <row r="448" s="7" customFormat="1" ht="14.25" customHeight="1" x14ac:dyDescent="0.3"/>
    <row r="449" s="7" customFormat="1" ht="14.25" customHeight="1" x14ac:dyDescent="0.3"/>
    <row r="450" s="7" customFormat="1" ht="14.25" customHeight="1" x14ac:dyDescent="0.3"/>
    <row r="451" s="7" customFormat="1" ht="14.25" customHeight="1" x14ac:dyDescent="0.3"/>
    <row r="452" s="7" customFormat="1" ht="14.25" customHeight="1" x14ac:dyDescent="0.3"/>
    <row r="453" s="7" customFormat="1" ht="14.25" customHeight="1" x14ac:dyDescent="0.3"/>
    <row r="454" s="7" customFormat="1" ht="14.25" customHeight="1" x14ac:dyDescent="0.3"/>
    <row r="455" s="7" customFormat="1" ht="14.25" customHeight="1" x14ac:dyDescent="0.3"/>
    <row r="456" s="7" customFormat="1" ht="14.25" customHeight="1" x14ac:dyDescent="0.3"/>
    <row r="457" s="7" customFormat="1" ht="14.25" customHeight="1" x14ac:dyDescent="0.3"/>
    <row r="458" s="7" customFormat="1" ht="14.25" customHeight="1" x14ac:dyDescent="0.3"/>
    <row r="459" s="7" customFormat="1" ht="14.25" customHeight="1" x14ac:dyDescent="0.3"/>
    <row r="460" s="7" customFormat="1" ht="14.25" customHeight="1" x14ac:dyDescent="0.3"/>
    <row r="461" s="7" customFormat="1" ht="14.25" customHeight="1" x14ac:dyDescent="0.3"/>
    <row r="462" s="7" customFormat="1" ht="14.25" customHeight="1" x14ac:dyDescent="0.3"/>
    <row r="463" s="7" customFormat="1" ht="14.25" customHeight="1" x14ac:dyDescent="0.3"/>
    <row r="464" s="7" customFormat="1" ht="14.25" customHeight="1" x14ac:dyDescent="0.3"/>
    <row r="465" s="7" customFormat="1" ht="14.25" customHeight="1" x14ac:dyDescent="0.3"/>
    <row r="466" s="7" customFormat="1" ht="14.25" customHeight="1" x14ac:dyDescent="0.3"/>
    <row r="467" s="7" customFormat="1" ht="14.25" customHeight="1" x14ac:dyDescent="0.3"/>
    <row r="468" s="7" customFormat="1" ht="14.25" customHeight="1" x14ac:dyDescent="0.3"/>
    <row r="469" s="7" customFormat="1" ht="14.25" customHeight="1" x14ac:dyDescent="0.3"/>
    <row r="470" s="7" customFormat="1" ht="14.25" customHeight="1" x14ac:dyDescent="0.3"/>
    <row r="471" s="7" customFormat="1" ht="14.25" customHeight="1" x14ac:dyDescent="0.3"/>
    <row r="472" s="7" customFormat="1" ht="14.25" customHeight="1" x14ac:dyDescent="0.3"/>
    <row r="473" s="7" customFormat="1" ht="14.25" customHeight="1" x14ac:dyDescent="0.3"/>
    <row r="474" s="7" customFormat="1" ht="14.25" customHeight="1" x14ac:dyDescent="0.3"/>
    <row r="475" s="7" customFormat="1" ht="14.25" customHeight="1" x14ac:dyDescent="0.3"/>
    <row r="476" s="7" customFormat="1" ht="14.25" customHeight="1" x14ac:dyDescent="0.3"/>
    <row r="477" s="7" customFormat="1" ht="14.25" customHeight="1" x14ac:dyDescent="0.3"/>
    <row r="478" s="7" customFormat="1" ht="14.25" customHeight="1" x14ac:dyDescent="0.3"/>
    <row r="479" s="7" customFormat="1" ht="14.25" customHeight="1" x14ac:dyDescent="0.3"/>
    <row r="480" s="7" customFormat="1" ht="14.25" customHeight="1" x14ac:dyDescent="0.3"/>
    <row r="481" s="7" customFormat="1" ht="14.25" customHeight="1" x14ac:dyDescent="0.3"/>
    <row r="482" s="7" customFormat="1" ht="14.25" customHeight="1" x14ac:dyDescent="0.3"/>
    <row r="483" s="7" customFormat="1" ht="14.25" customHeight="1" x14ac:dyDescent="0.3"/>
    <row r="484" s="7" customFormat="1" ht="14.25" customHeight="1" x14ac:dyDescent="0.3"/>
    <row r="485" s="7" customFormat="1" ht="14.25" customHeight="1" x14ac:dyDescent="0.3"/>
    <row r="486" s="7" customFormat="1" ht="14.25" customHeight="1" x14ac:dyDescent="0.3"/>
    <row r="487" s="7" customFormat="1" ht="14.25" customHeight="1" x14ac:dyDescent="0.3"/>
    <row r="488" s="7" customFormat="1" ht="14.25" customHeight="1" x14ac:dyDescent="0.3"/>
    <row r="489" s="7" customFormat="1" ht="14.25" customHeight="1" x14ac:dyDescent="0.3"/>
    <row r="490" s="7" customFormat="1" ht="14.25" customHeight="1" x14ac:dyDescent="0.3"/>
    <row r="491" s="7" customFormat="1" ht="14.25" customHeight="1" x14ac:dyDescent="0.3"/>
    <row r="492" s="7" customFormat="1" ht="14.25" customHeight="1" x14ac:dyDescent="0.3"/>
    <row r="493" s="7" customFormat="1" ht="14.25" customHeight="1" x14ac:dyDescent="0.3"/>
    <row r="494" s="7" customFormat="1" ht="14.25" customHeight="1" x14ac:dyDescent="0.3"/>
    <row r="495" s="7" customFormat="1" ht="14.25" customHeight="1" x14ac:dyDescent="0.3"/>
    <row r="496" s="7" customFormat="1" ht="14.25" customHeight="1" x14ac:dyDescent="0.3"/>
    <row r="497" s="7" customFormat="1" ht="14.25" customHeight="1" x14ac:dyDescent="0.3"/>
    <row r="498" s="7" customFormat="1" ht="14.25" customHeight="1" x14ac:dyDescent="0.3"/>
    <row r="499" s="7" customFormat="1" ht="14.25" customHeight="1" x14ac:dyDescent="0.3"/>
    <row r="500" s="7" customFormat="1" ht="14.25" customHeight="1" x14ac:dyDescent="0.3"/>
    <row r="501" s="7" customFormat="1" ht="14.25" customHeight="1" x14ac:dyDescent="0.3"/>
    <row r="502" s="7" customFormat="1" ht="14.25" customHeight="1" x14ac:dyDescent="0.3"/>
    <row r="503" s="7" customFormat="1" ht="14.25" customHeight="1" x14ac:dyDescent="0.3"/>
    <row r="504" s="7" customFormat="1" ht="14.25" customHeight="1" x14ac:dyDescent="0.3"/>
    <row r="505" s="7" customFormat="1" ht="14.25" customHeight="1" x14ac:dyDescent="0.3"/>
    <row r="506" s="7" customFormat="1" ht="14.25" customHeight="1" x14ac:dyDescent="0.3"/>
    <row r="507" s="7" customFormat="1" ht="14.25" customHeight="1" x14ac:dyDescent="0.3"/>
    <row r="508" s="7" customFormat="1" ht="14.25" customHeight="1" x14ac:dyDescent="0.3"/>
    <row r="509" s="7" customFormat="1" ht="14.25" customHeight="1" x14ac:dyDescent="0.3"/>
    <row r="510" s="7" customFormat="1" ht="14.25" customHeight="1" x14ac:dyDescent="0.3"/>
    <row r="511" s="7" customFormat="1" ht="14.25" customHeight="1" x14ac:dyDescent="0.3"/>
    <row r="512" s="7" customFormat="1" ht="14.25" customHeight="1" x14ac:dyDescent="0.3"/>
    <row r="513" s="7" customFormat="1" ht="14.25" customHeight="1" x14ac:dyDescent="0.3"/>
    <row r="514" s="7" customFormat="1" ht="14.25" customHeight="1" x14ac:dyDescent="0.3"/>
    <row r="515" s="7" customFormat="1" ht="14.25" customHeight="1" x14ac:dyDescent="0.3"/>
    <row r="516" s="7" customFormat="1" ht="14.25" customHeight="1" x14ac:dyDescent="0.3"/>
    <row r="517" s="7" customFormat="1" ht="14.25" customHeight="1" x14ac:dyDescent="0.3"/>
    <row r="518" s="7" customFormat="1" ht="14.25" customHeight="1" x14ac:dyDescent="0.3"/>
    <row r="519" s="7" customFormat="1" ht="14.25" customHeight="1" x14ac:dyDescent="0.3"/>
    <row r="520" s="7" customFormat="1" ht="14.25" customHeight="1" x14ac:dyDescent="0.3"/>
    <row r="521" s="7" customFormat="1" ht="14.25" customHeight="1" x14ac:dyDescent="0.3"/>
    <row r="522" s="7" customFormat="1" ht="14.25" customHeight="1" x14ac:dyDescent="0.3"/>
    <row r="523" s="7" customFormat="1" ht="14.25" customHeight="1" x14ac:dyDescent="0.3"/>
    <row r="524" s="7" customFormat="1" ht="14.25" customHeight="1" x14ac:dyDescent="0.3"/>
    <row r="525" s="7" customFormat="1" ht="14.25" customHeight="1" x14ac:dyDescent="0.3"/>
    <row r="526" s="7" customFormat="1" ht="14.25" customHeight="1" x14ac:dyDescent="0.3"/>
    <row r="527" s="7" customFormat="1" ht="14.25" customHeight="1" x14ac:dyDescent="0.3"/>
    <row r="528" s="7" customFormat="1" ht="14.25" customHeight="1" x14ac:dyDescent="0.3"/>
    <row r="529" s="7" customFormat="1" ht="14.25" customHeight="1" x14ac:dyDescent="0.3"/>
    <row r="530" s="7" customFormat="1" ht="14.25" customHeight="1" x14ac:dyDescent="0.3"/>
    <row r="531" s="7" customFormat="1" ht="14.25" customHeight="1" x14ac:dyDescent="0.3"/>
    <row r="532" s="7" customFormat="1" ht="14.25" customHeight="1" x14ac:dyDescent="0.3"/>
    <row r="533" s="7" customFormat="1" ht="14.25" customHeight="1" x14ac:dyDescent="0.3"/>
    <row r="534" s="7" customFormat="1" ht="14.25" customHeight="1" x14ac:dyDescent="0.3"/>
    <row r="535" s="7" customFormat="1" ht="14.25" customHeight="1" x14ac:dyDescent="0.3"/>
    <row r="536" s="7" customFormat="1" ht="14.25" customHeight="1" x14ac:dyDescent="0.3"/>
    <row r="537" s="7" customFormat="1" ht="14.25" customHeight="1" x14ac:dyDescent="0.3"/>
    <row r="538" s="7" customFormat="1" ht="14.25" customHeight="1" x14ac:dyDescent="0.3"/>
    <row r="539" s="7" customFormat="1" ht="14.25" customHeight="1" x14ac:dyDescent="0.3"/>
    <row r="540" s="7" customFormat="1" ht="14.25" customHeight="1" x14ac:dyDescent="0.3"/>
    <row r="541" s="7" customFormat="1" ht="14.25" customHeight="1" x14ac:dyDescent="0.3"/>
    <row r="542" s="7" customFormat="1" ht="14.25" customHeight="1" x14ac:dyDescent="0.3"/>
    <row r="543" s="7" customFormat="1" ht="14.25" customHeight="1" x14ac:dyDescent="0.3"/>
    <row r="544" s="7" customFormat="1" ht="14.25" customHeight="1" x14ac:dyDescent="0.3"/>
    <row r="545" s="7" customFormat="1" ht="14.25" customHeight="1" x14ac:dyDescent="0.3"/>
    <row r="546" s="7" customFormat="1" ht="14.25" customHeight="1" x14ac:dyDescent="0.3"/>
    <row r="547" s="7" customFormat="1" ht="14.25" customHeight="1" x14ac:dyDescent="0.3"/>
    <row r="548" s="7" customFormat="1" ht="14.25" customHeight="1" x14ac:dyDescent="0.3"/>
    <row r="549" s="7" customFormat="1" ht="14.25" customHeight="1" x14ac:dyDescent="0.3"/>
    <row r="550" s="7" customFormat="1" ht="14.25" customHeight="1" x14ac:dyDescent="0.3"/>
    <row r="551" s="7" customFormat="1" ht="14.25" customHeight="1" x14ac:dyDescent="0.3"/>
    <row r="552" s="7" customFormat="1" ht="14.25" customHeight="1" x14ac:dyDescent="0.3"/>
    <row r="553" s="7" customFormat="1" ht="14.25" customHeight="1" x14ac:dyDescent="0.3"/>
    <row r="554" s="7" customFormat="1" ht="14.25" customHeight="1" x14ac:dyDescent="0.3"/>
    <row r="555" s="7" customFormat="1" ht="14.25" customHeight="1" x14ac:dyDescent="0.3"/>
    <row r="556" s="7" customFormat="1" ht="14.25" customHeight="1" x14ac:dyDescent="0.3"/>
    <row r="557" s="7" customFormat="1" ht="14.25" customHeight="1" x14ac:dyDescent="0.3"/>
    <row r="558" s="7" customFormat="1" ht="14.25" customHeight="1" x14ac:dyDescent="0.3"/>
    <row r="559" s="7" customFormat="1" ht="14.25" customHeight="1" x14ac:dyDescent="0.3"/>
    <row r="560" s="7" customFormat="1" ht="14.25" customHeight="1" x14ac:dyDescent="0.3"/>
    <row r="561" s="7" customFormat="1" ht="14.25" customHeight="1" x14ac:dyDescent="0.3"/>
    <row r="562" s="7" customFormat="1" ht="14.25" customHeight="1" x14ac:dyDescent="0.3"/>
    <row r="563" s="7" customFormat="1" ht="14.25" customHeight="1" x14ac:dyDescent="0.3"/>
    <row r="564" s="7" customFormat="1" ht="14.25" customHeight="1" x14ac:dyDescent="0.3"/>
    <row r="565" s="7" customFormat="1" ht="14.25" customHeight="1" x14ac:dyDescent="0.3"/>
    <row r="566" s="7" customFormat="1" ht="14.25" customHeight="1" x14ac:dyDescent="0.3"/>
    <row r="567" s="7" customFormat="1" ht="14.25" customHeight="1" x14ac:dyDescent="0.3"/>
    <row r="568" s="7" customFormat="1" ht="14.25" customHeight="1" x14ac:dyDescent="0.3"/>
    <row r="569" s="7" customFormat="1" ht="14.25" customHeight="1" x14ac:dyDescent="0.3"/>
    <row r="570" s="7" customFormat="1" ht="14.25" customHeight="1" x14ac:dyDescent="0.3"/>
    <row r="571" s="7" customFormat="1" ht="14.25" customHeight="1" x14ac:dyDescent="0.3"/>
    <row r="572" s="7" customFormat="1" ht="14.25" customHeight="1" x14ac:dyDescent="0.3"/>
    <row r="573" s="7" customFormat="1" ht="14.25" customHeight="1" x14ac:dyDescent="0.3"/>
    <row r="574" s="7" customFormat="1" ht="14.25" customHeight="1" x14ac:dyDescent="0.3"/>
    <row r="575" s="7" customFormat="1" ht="14.25" customHeight="1" x14ac:dyDescent="0.3"/>
    <row r="576" s="7" customFormat="1" ht="14.25" customHeight="1" x14ac:dyDescent="0.3"/>
    <row r="577" s="7" customFormat="1" ht="14.25" customHeight="1" x14ac:dyDescent="0.3"/>
    <row r="578" s="7" customFormat="1" ht="14.25" customHeight="1" x14ac:dyDescent="0.3"/>
    <row r="579" s="7" customFormat="1" ht="14.25" customHeight="1" x14ac:dyDescent="0.3"/>
    <row r="580" s="7" customFormat="1" ht="14.25" customHeight="1" x14ac:dyDescent="0.3"/>
    <row r="581" s="7" customFormat="1" ht="14.25" customHeight="1" x14ac:dyDescent="0.3"/>
    <row r="582" s="7" customFormat="1" ht="14.25" customHeight="1" x14ac:dyDescent="0.3"/>
    <row r="583" s="7" customFormat="1" ht="14.25" customHeight="1" x14ac:dyDescent="0.3"/>
    <row r="584" s="7" customFormat="1" ht="14.25" customHeight="1" x14ac:dyDescent="0.3"/>
    <row r="585" s="7" customFormat="1" ht="14.25" customHeight="1" x14ac:dyDescent="0.3"/>
    <row r="586" s="7" customFormat="1" ht="14.25" customHeight="1" x14ac:dyDescent="0.3"/>
    <row r="587" s="7" customFormat="1" ht="14.25" customHeight="1" x14ac:dyDescent="0.3"/>
    <row r="588" s="7" customFormat="1" ht="14.25" customHeight="1" x14ac:dyDescent="0.3"/>
    <row r="589" s="7" customFormat="1" ht="14.25" customHeight="1" x14ac:dyDescent="0.3"/>
    <row r="590" s="7" customFormat="1" ht="14.25" customHeight="1" x14ac:dyDescent="0.3"/>
    <row r="591" s="7" customFormat="1" ht="14.25" customHeight="1" x14ac:dyDescent="0.3"/>
    <row r="592" s="7" customFormat="1" ht="14.25" customHeight="1" x14ac:dyDescent="0.3"/>
    <row r="593" s="7" customFormat="1" ht="14.25" customHeight="1" x14ac:dyDescent="0.3"/>
    <row r="594" s="7" customFormat="1" ht="14.25" customHeight="1" x14ac:dyDescent="0.3"/>
    <row r="595" s="7" customFormat="1" ht="14.25" customHeight="1" x14ac:dyDescent="0.3"/>
    <row r="596" s="7" customFormat="1" ht="14.25" customHeight="1" x14ac:dyDescent="0.3"/>
    <row r="597" s="7" customFormat="1" ht="14.25" customHeight="1" x14ac:dyDescent="0.3"/>
    <row r="598" s="7" customFormat="1" ht="14.25" customHeight="1" x14ac:dyDescent="0.3"/>
    <row r="599" s="7" customFormat="1" ht="14.25" customHeight="1" x14ac:dyDescent="0.3"/>
    <row r="600" s="7" customFormat="1" ht="14.25" customHeight="1" x14ac:dyDescent="0.3"/>
    <row r="601" s="7" customFormat="1" ht="14.25" customHeight="1" x14ac:dyDescent="0.3"/>
    <row r="602" s="7" customFormat="1" ht="14.25" customHeight="1" x14ac:dyDescent="0.3"/>
    <row r="603" s="7" customFormat="1" ht="14.25" customHeight="1" x14ac:dyDescent="0.3"/>
    <row r="604" s="7" customFormat="1" ht="14.25" customHeight="1" x14ac:dyDescent="0.3"/>
    <row r="605" s="7" customFormat="1" ht="14.25" customHeight="1" x14ac:dyDescent="0.3"/>
    <row r="606" s="7" customFormat="1" ht="14.25" customHeight="1" x14ac:dyDescent="0.3"/>
    <row r="607" s="7" customFormat="1" ht="14.25" customHeight="1" x14ac:dyDescent="0.3"/>
    <row r="608" s="7" customFormat="1" ht="14.25" customHeight="1" x14ac:dyDescent="0.3"/>
    <row r="609" s="7" customFormat="1" ht="14.25" customHeight="1" x14ac:dyDescent="0.3"/>
    <row r="610" s="7" customFormat="1" ht="14.25" customHeight="1" x14ac:dyDescent="0.3"/>
    <row r="611" s="7" customFormat="1" ht="14.25" customHeight="1" x14ac:dyDescent="0.3"/>
    <row r="612" s="7" customFormat="1" ht="14.25" customHeight="1" x14ac:dyDescent="0.3"/>
    <row r="613" s="7" customFormat="1" ht="14.25" customHeight="1" x14ac:dyDescent="0.3"/>
    <row r="614" s="7" customFormat="1" ht="14.25" customHeight="1" x14ac:dyDescent="0.3"/>
    <row r="615" s="7" customFormat="1" ht="14.25" customHeight="1" x14ac:dyDescent="0.3"/>
    <row r="616" s="7" customFormat="1" ht="14.25" customHeight="1" x14ac:dyDescent="0.3"/>
    <row r="617" s="7" customFormat="1" ht="14.25" customHeight="1" x14ac:dyDescent="0.3"/>
    <row r="618" s="7" customFormat="1" ht="14.25" customHeight="1" x14ac:dyDescent="0.3"/>
    <row r="619" s="7" customFormat="1" ht="14.25" customHeight="1" x14ac:dyDescent="0.3"/>
    <row r="620" s="7" customFormat="1" ht="14.25" customHeight="1" x14ac:dyDescent="0.3"/>
    <row r="621" s="7" customFormat="1" ht="14.25" customHeight="1" x14ac:dyDescent="0.3"/>
    <row r="622" s="7" customFormat="1" ht="14.25" customHeight="1" x14ac:dyDescent="0.3"/>
    <row r="623" s="7" customFormat="1" ht="14.25" customHeight="1" x14ac:dyDescent="0.3"/>
    <row r="624" s="7" customFormat="1" ht="14.25" customHeight="1" x14ac:dyDescent="0.3"/>
    <row r="625" s="7" customFormat="1" ht="14.25" customHeight="1" x14ac:dyDescent="0.3"/>
    <row r="626" s="7" customFormat="1" ht="14.25" customHeight="1" x14ac:dyDescent="0.3"/>
    <row r="627" s="7" customFormat="1" ht="14.25" customHeight="1" x14ac:dyDescent="0.3"/>
    <row r="628" s="7" customFormat="1" ht="14.25" customHeight="1" x14ac:dyDescent="0.3"/>
    <row r="629" s="7" customFormat="1" ht="14.25" customHeight="1" x14ac:dyDescent="0.3"/>
    <row r="630" s="7" customFormat="1" ht="14.25" customHeight="1" x14ac:dyDescent="0.3"/>
    <row r="631" s="7" customFormat="1" ht="14.25" customHeight="1" x14ac:dyDescent="0.3"/>
    <row r="632" s="7" customFormat="1" ht="14.25" customHeight="1" x14ac:dyDescent="0.3"/>
    <row r="633" s="7" customFormat="1" ht="14.25" customHeight="1" x14ac:dyDescent="0.3"/>
    <row r="634" s="7" customFormat="1" ht="14.25" customHeight="1" x14ac:dyDescent="0.3"/>
    <row r="635" s="7" customFormat="1" ht="14.25" customHeight="1" x14ac:dyDescent="0.3"/>
    <row r="636" s="7" customFormat="1" ht="14.25" customHeight="1" x14ac:dyDescent="0.3"/>
    <row r="637" s="7" customFormat="1" ht="14.25" customHeight="1" x14ac:dyDescent="0.3"/>
    <row r="638" s="7" customFormat="1" ht="14.25" customHeight="1" x14ac:dyDescent="0.3"/>
    <row r="639" s="7" customFormat="1" ht="14.25" customHeight="1" x14ac:dyDescent="0.3"/>
    <row r="640" s="7" customFormat="1" ht="14.25" customHeight="1" x14ac:dyDescent="0.3"/>
    <row r="641" s="7" customFormat="1" ht="14.25" customHeight="1" x14ac:dyDescent="0.3"/>
    <row r="642" s="7" customFormat="1" ht="14.25" customHeight="1" x14ac:dyDescent="0.3"/>
    <row r="643" s="7" customFormat="1" ht="14.25" customHeight="1" x14ac:dyDescent="0.3"/>
    <row r="644" s="7" customFormat="1" ht="14.25" customHeight="1" x14ac:dyDescent="0.3"/>
    <row r="645" s="7" customFormat="1" ht="14.25" customHeight="1" x14ac:dyDescent="0.3"/>
    <row r="646" s="7" customFormat="1" ht="14.25" customHeight="1" x14ac:dyDescent="0.3"/>
    <row r="647" s="7" customFormat="1" ht="14.25" customHeight="1" x14ac:dyDescent="0.3"/>
    <row r="648" s="7" customFormat="1" ht="14.25" customHeight="1" x14ac:dyDescent="0.3"/>
    <row r="649" s="7" customFormat="1" ht="14.25" customHeight="1" x14ac:dyDescent="0.3"/>
    <row r="650" s="7" customFormat="1" ht="14.25" customHeight="1" x14ac:dyDescent="0.3"/>
    <row r="651" s="7" customFormat="1" ht="14.25" customHeight="1" x14ac:dyDescent="0.3"/>
    <row r="652" s="7" customFormat="1" ht="14.25" customHeight="1" x14ac:dyDescent="0.3"/>
    <row r="653" s="7" customFormat="1" ht="14.25" customHeight="1" x14ac:dyDescent="0.3"/>
    <row r="654" s="7" customFormat="1" ht="14.25" customHeight="1" x14ac:dyDescent="0.3"/>
    <row r="655" s="7" customFormat="1" ht="14.25" customHeight="1" x14ac:dyDescent="0.3"/>
    <row r="656" s="7" customFormat="1" ht="14.25" customHeight="1" x14ac:dyDescent="0.3"/>
    <row r="657" s="7" customFormat="1" ht="14.25" customHeight="1" x14ac:dyDescent="0.3"/>
    <row r="658" s="7" customFormat="1" ht="14.25" customHeight="1" x14ac:dyDescent="0.3"/>
    <row r="659" s="7" customFormat="1" ht="14.25" customHeight="1" x14ac:dyDescent="0.3"/>
    <row r="660" s="7" customFormat="1" ht="14.25" customHeight="1" x14ac:dyDescent="0.3"/>
    <row r="661" s="7" customFormat="1" ht="14.25" customHeight="1" x14ac:dyDescent="0.3"/>
    <row r="662" s="7" customFormat="1" ht="14.25" customHeight="1" x14ac:dyDescent="0.3"/>
    <row r="663" s="7" customFormat="1" ht="14.25" customHeight="1" x14ac:dyDescent="0.3"/>
    <row r="664" s="7" customFormat="1" ht="14.25" customHeight="1" x14ac:dyDescent="0.3"/>
    <row r="665" s="7" customFormat="1" ht="14.25" customHeight="1" x14ac:dyDescent="0.3"/>
    <row r="666" s="7" customFormat="1" ht="14.25" customHeight="1" x14ac:dyDescent="0.3"/>
    <row r="667" s="7" customFormat="1" ht="14.25" customHeight="1" x14ac:dyDescent="0.3"/>
    <row r="668" s="7" customFormat="1" ht="14.25" customHeight="1" x14ac:dyDescent="0.3"/>
    <row r="669" s="7" customFormat="1" ht="14.25" customHeight="1" x14ac:dyDescent="0.3"/>
    <row r="670" s="7" customFormat="1" ht="14.25" customHeight="1" x14ac:dyDescent="0.3"/>
    <row r="671" s="7" customFormat="1" ht="14.25" customHeight="1" x14ac:dyDescent="0.3"/>
    <row r="672" s="7" customFormat="1" ht="14.25" customHeight="1" x14ac:dyDescent="0.3"/>
    <row r="673" s="7" customFormat="1" ht="14.25" customHeight="1" x14ac:dyDescent="0.3"/>
    <row r="674" s="7" customFormat="1" ht="14.25" customHeight="1" x14ac:dyDescent="0.3"/>
    <row r="675" s="7" customFormat="1" ht="14.25" customHeight="1" x14ac:dyDescent="0.3"/>
    <row r="676" s="7" customFormat="1" ht="14.25" customHeight="1" x14ac:dyDescent="0.3"/>
    <row r="677" s="7" customFormat="1" ht="14.25" customHeight="1" x14ac:dyDescent="0.3"/>
    <row r="678" s="7" customFormat="1" ht="14.25" customHeight="1" x14ac:dyDescent="0.3"/>
    <row r="679" s="7" customFormat="1" ht="14.25" customHeight="1" x14ac:dyDescent="0.3"/>
    <row r="680" s="7" customFormat="1" ht="14.25" customHeight="1" x14ac:dyDescent="0.3"/>
    <row r="681" s="7" customFormat="1" ht="14.25" customHeight="1" x14ac:dyDescent="0.3"/>
    <row r="682" s="7" customFormat="1" ht="14.25" customHeight="1" x14ac:dyDescent="0.3"/>
    <row r="683" s="7" customFormat="1" ht="14.25" customHeight="1" x14ac:dyDescent="0.3"/>
    <row r="684" s="7" customFormat="1" ht="14.25" customHeight="1" x14ac:dyDescent="0.3"/>
    <row r="685" s="7" customFormat="1" ht="14.25" customHeight="1" x14ac:dyDescent="0.3"/>
    <row r="686" s="7" customFormat="1" ht="14.25" customHeight="1" x14ac:dyDescent="0.3"/>
    <row r="687" s="7" customFormat="1" ht="14.25" customHeight="1" x14ac:dyDescent="0.3"/>
    <row r="688" s="7" customFormat="1" ht="14.25" customHeight="1" x14ac:dyDescent="0.3"/>
    <row r="689" s="7" customFormat="1" ht="14.25" customHeight="1" x14ac:dyDescent="0.3"/>
    <row r="690" s="7" customFormat="1" ht="14.25" customHeight="1" x14ac:dyDescent="0.3"/>
    <row r="691" s="7" customFormat="1" ht="14.25" customHeight="1" x14ac:dyDescent="0.3"/>
    <row r="692" s="7" customFormat="1" ht="14.25" customHeight="1" x14ac:dyDescent="0.3"/>
    <row r="693" s="7" customFormat="1" ht="14.25" customHeight="1" x14ac:dyDescent="0.3"/>
    <row r="694" s="7" customFormat="1" ht="14.25" customHeight="1" x14ac:dyDescent="0.3"/>
    <row r="695" s="7" customFormat="1" ht="14.25" customHeight="1" x14ac:dyDescent="0.3"/>
    <row r="696" s="7" customFormat="1" ht="14.25" customHeight="1" x14ac:dyDescent="0.3"/>
    <row r="697" s="7" customFormat="1" ht="14.25" customHeight="1" x14ac:dyDescent="0.3"/>
    <row r="698" s="7" customFormat="1" ht="14.25" customHeight="1" x14ac:dyDescent="0.3"/>
    <row r="699" s="7" customFormat="1" ht="14.25" customHeight="1" x14ac:dyDescent="0.3"/>
    <row r="700" s="7" customFormat="1" ht="14.25" customHeight="1" x14ac:dyDescent="0.3"/>
    <row r="701" s="7" customFormat="1" ht="14.25" customHeight="1" x14ac:dyDescent="0.3"/>
    <row r="702" s="7" customFormat="1" ht="14.25" customHeight="1" x14ac:dyDescent="0.3"/>
    <row r="703" s="7" customFormat="1" ht="14.25" customHeight="1" x14ac:dyDescent="0.3"/>
    <row r="704" s="7" customFormat="1" ht="14.25" customHeight="1" x14ac:dyDescent="0.3"/>
    <row r="705" s="7" customFormat="1" ht="14.25" customHeight="1" x14ac:dyDescent="0.3"/>
    <row r="706" s="7" customFormat="1" ht="14.25" customHeight="1" x14ac:dyDescent="0.3"/>
    <row r="707" s="7" customFormat="1" ht="14.25" customHeight="1" x14ac:dyDescent="0.3"/>
    <row r="708" s="7" customFormat="1" ht="14.25" customHeight="1" x14ac:dyDescent="0.3"/>
    <row r="709" s="7" customFormat="1" ht="14.25" customHeight="1" x14ac:dyDescent="0.3"/>
    <row r="710" s="7" customFormat="1" ht="14.25" customHeight="1" x14ac:dyDescent="0.3"/>
    <row r="711" s="7" customFormat="1" ht="14.25" customHeight="1" x14ac:dyDescent="0.3"/>
    <row r="712" s="7" customFormat="1" ht="14.25" customHeight="1" x14ac:dyDescent="0.3"/>
    <row r="713" s="7" customFormat="1" ht="14.25" customHeight="1" x14ac:dyDescent="0.3"/>
    <row r="714" s="7" customFormat="1" ht="14.25" customHeight="1" x14ac:dyDescent="0.3"/>
    <row r="715" s="7" customFormat="1" ht="14.25" customHeight="1" x14ac:dyDescent="0.3"/>
    <row r="716" s="7" customFormat="1" ht="14.25" customHeight="1" x14ac:dyDescent="0.3"/>
    <row r="717" s="7" customFormat="1" ht="14.25" customHeight="1" x14ac:dyDescent="0.3"/>
    <row r="718" s="7" customFormat="1" ht="14.25" customHeight="1" x14ac:dyDescent="0.3"/>
    <row r="719" s="7" customFormat="1" ht="14.25" customHeight="1" x14ac:dyDescent="0.3"/>
    <row r="720" s="7" customFormat="1" ht="14.25" customHeight="1" x14ac:dyDescent="0.3"/>
    <row r="721" s="7" customFormat="1" ht="14.25" customHeight="1" x14ac:dyDescent="0.3"/>
    <row r="722" s="7" customFormat="1" ht="14.25" customHeight="1" x14ac:dyDescent="0.3"/>
    <row r="723" s="7" customFormat="1" ht="14.25" customHeight="1" x14ac:dyDescent="0.3"/>
    <row r="724" s="7" customFormat="1" ht="14.25" customHeight="1" x14ac:dyDescent="0.3"/>
    <row r="725" s="7" customFormat="1" ht="14.25" customHeight="1" x14ac:dyDescent="0.3"/>
    <row r="726" s="7" customFormat="1" ht="14.25" customHeight="1" x14ac:dyDescent="0.3"/>
    <row r="727" s="7" customFormat="1" ht="14.25" customHeight="1" x14ac:dyDescent="0.3"/>
    <row r="728" s="7" customFormat="1" ht="14.25" customHeight="1" x14ac:dyDescent="0.3"/>
    <row r="729" s="7" customFormat="1" ht="14.25" customHeight="1" x14ac:dyDescent="0.3"/>
    <row r="730" s="7" customFormat="1" ht="14.25" customHeight="1" x14ac:dyDescent="0.3"/>
    <row r="731" s="7" customFormat="1" ht="14.25" customHeight="1" x14ac:dyDescent="0.3"/>
    <row r="732" s="7" customFormat="1" ht="14.25" customHeight="1" x14ac:dyDescent="0.3"/>
    <row r="733" s="7" customFormat="1" ht="14.25" customHeight="1" x14ac:dyDescent="0.3"/>
    <row r="734" s="7" customFormat="1" ht="14.25" customHeight="1" x14ac:dyDescent="0.3"/>
    <row r="735" s="7" customFormat="1" ht="14.25" customHeight="1" x14ac:dyDescent="0.3"/>
    <row r="736" s="7" customFormat="1" ht="14.25" customHeight="1" x14ac:dyDescent="0.3"/>
    <row r="737" s="7" customFormat="1" ht="14.25" customHeight="1" x14ac:dyDescent="0.3"/>
    <row r="738" s="7" customFormat="1" ht="14.25" customHeight="1" x14ac:dyDescent="0.3"/>
    <row r="739" s="7" customFormat="1" ht="14.25" customHeight="1" x14ac:dyDescent="0.3"/>
    <row r="740" s="7" customFormat="1" ht="14.25" customHeight="1" x14ac:dyDescent="0.3"/>
    <row r="741" s="7" customFormat="1" ht="14.25" customHeight="1" x14ac:dyDescent="0.3"/>
    <row r="742" s="7" customFormat="1" ht="14.25" customHeight="1" x14ac:dyDescent="0.3"/>
    <row r="743" s="7" customFormat="1" ht="14.25" customHeight="1" x14ac:dyDescent="0.3"/>
    <row r="744" s="7" customFormat="1" ht="14.25" customHeight="1" x14ac:dyDescent="0.3"/>
    <row r="745" s="7" customFormat="1" ht="14.25" customHeight="1" x14ac:dyDescent="0.3"/>
    <row r="746" s="7" customFormat="1" ht="14.25" customHeight="1" x14ac:dyDescent="0.3"/>
    <row r="747" s="7" customFormat="1" ht="14.25" customHeight="1" x14ac:dyDescent="0.3"/>
    <row r="748" s="7" customFormat="1" ht="14.25" customHeight="1" x14ac:dyDescent="0.3"/>
    <row r="749" s="7" customFormat="1" ht="14.25" customHeight="1" x14ac:dyDescent="0.3"/>
    <row r="750" s="7" customFormat="1" ht="14.25" customHeight="1" x14ac:dyDescent="0.3"/>
    <row r="751" s="7" customFormat="1" ht="14.25" customHeight="1" x14ac:dyDescent="0.3"/>
    <row r="752" s="7" customFormat="1" ht="14.25" customHeight="1" x14ac:dyDescent="0.3"/>
    <row r="753" s="7" customFormat="1" ht="14.25" customHeight="1" x14ac:dyDescent="0.3"/>
    <row r="754" s="7" customFormat="1" ht="14.25" customHeight="1" x14ac:dyDescent="0.3"/>
    <row r="755" s="7" customFormat="1" ht="14.25" customHeight="1" x14ac:dyDescent="0.3"/>
    <row r="756" s="7" customFormat="1" ht="14.25" customHeight="1" x14ac:dyDescent="0.3"/>
    <row r="757" s="7" customFormat="1" ht="14.25" customHeight="1" x14ac:dyDescent="0.3"/>
    <row r="758" s="7" customFormat="1" ht="14.25" customHeight="1" x14ac:dyDescent="0.3"/>
    <row r="759" s="7" customFormat="1" ht="14.25" customHeight="1" x14ac:dyDescent="0.3"/>
    <row r="760" s="7" customFormat="1" ht="14.25" customHeight="1" x14ac:dyDescent="0.3"/>
    <row r="761" s="7" customFormat="1" ht="14.25" customHeight="1" x14ac:dyDescent="0.3"/>
    <row r="762" s="7" customFormat="1" ht="14.25" customHeight="1" x14ac:dyDescent="0.3"/>
    <row r="763" s="7" customFormat="1" ht="14.25" customHeight="1" x14ac:dyDescent="0.3"/>
    <row r="764" s="7" customFormat="1" ht="14.25" customHeight="1" x14ac:dyDescent="0.3"/>
    <row r="765" s="7" customFormat="1" ht="14.25" customHeight="1" x14ac:dyDescent="0.3"/>
    <row r="766" s="7" customFormat="1" ht="14.25" customHeight="1" x14ac:dyDescent="0.3"/>
    <row r="767" s="7" customFormat="1" ht="14.25" customHeight="1" x14ac:dyDescent="0.3"/>
    <row r="768" s="7" customFormat="1" ht="14.25" customHeight="1" x14ac:dyDescent="0.3"/>
    <row r="769" s="7" customFormat="1" ht="14.25" customHeight="1" x14ac:dyDescent="0.3"/>
    <row r="770" s="7" customFormat="1" ht="14.25" customHeight="1" x14ac:dyDescent="0.3"/>
    <row r="771" s="7" customFormat="1" ht="14.25" customHeight="1" x14ac:dyDescent="0.3"/>
    <row r="772" s="7" customFormat="1" ht="14.25" customHeight="1" x14ac:dyDescent="0.3"/>
    <row r="773" s="7" customFormat="1" ht="14.25" customHeight="1" x14ac:dyDescent="0.3"/>
    <row r="774" s="7" customFormat="1" ht="14.25" customHeight="1" x14ac:dyDescent="0.3"/>
    <row r="775" s="7" customFormat="1" ht="14.25" customHeight="1" x14ac:dyDescent="0.3"/>
    <row r="776" s="7" customFormat="1" ht="14.25" customHeight="1" x14ac:dyDescent="0.3"/>
    <row r="777" s="7" customFormat="1" ht="14.25" customHeight="1" x14ac:dyDescent="0.3"/>
    <row r="778" s="7" customFormat="1" ht="14.25" customHeight="1" x14ac:dyDescent="0.3"/>
    <row r="779" s="7" customFormat="1" ht="14.25" customHeight="1" x14ac:dyDescent="0.3"/>
    <row r="780" s="7" customFormat="1" ht="14.25" customHeight="1" x14ac:dyDescent="0.3"/>
    <row r="781" s="7" customFormat="1" ht="14.25" customHeight="1" x14ac:dyDescent="0.3"/>
    <row r="782" s="7" customFormat="1" ht="14.25" customHeight="1" x14ac:dyDescent="0.3"/>
    <row r="783" s="7" customFormat="1" ht="14.25" customHeight="1" x14ac:dyDescent="0.3"/>
    <row r="784" s="7" customFormat="1" ht="14.25" customHeight="1" x14ac:dyDescent="0.3"/>
    <row r="785" s="7" customFormat="1" ht="14.25" customHeight="1" x14ac:dyDescent="0.3"/>
    <row r="786" s="7" customFormat="1" ht="14.25" customHeight="1" x14ac:dyDescent="0.3"/>
    <row r="787" s="7" customFormat="1" ht="14.25" customHeight="1" x14ac:dyDescent="0.3"/>
    <row r="788" s="7" customFormat="1" ht="14.25" customHeight="1" x14ac:dyDescent="0.3"/>
    <row r="789" s="7" customFormat="1" ht="14.25" customHeight="1" x14ac:dyDescent="0.3"/>
    <row r="790" s="7" customFormat="1" ht="14.25" customHeight="1" x14ac:dyDescent="0.3"/>
    <row r="791" s="7" customFormat="1" ht="14.25" customHeight="1" x14ac:dyDescent="0.3"/>
    <row r="792" s="7" customFormat="1" ht="14.25" customHeight="1" x14ac:dyDescent="0.3"/>
    <row r="793" s="7" customFormat="1" ht="14.25" customHeight="1" x14ac:dyDescent="0.3"/>
    <row r="794" s="7" customFormat="1" ht="14.25" customHeight="1" x14ac:dyDescent="0.3"/>
    <row r="795" s="7" customFormat="1" ht="14.25" customHeight="1" x14ac:dyDescent="0.3"/>
    <row r="796" s="7" customFormat="1" ht="14.25" customHeight="1" x14ac:dyDescent="0.3"/>
    <row r="797" s="7" customFormat="1" ht="14.25" customHeight="1" x14ac:dyDescent="0.3"/>
    <row r="798" s="7" customFormat="1" ht="14.25" customHeight="1" x14ac:dyDescent="0.3"/>
    <row r="799" s="7" customFormat="1" ht="14.25" customHeight="1" x14ac:dyDescent="0.3"/>
    <row r="800" s="7" customFormat="1" ht="14.25" customHeight="1" x14ac:dyDescent="0.3"/>
    <row r="801" s="7" customFormat="1" ht="14.25" customHeight="1" x14ac:dyDescent="0.3"/>
    <row r="802" s="7" customFormat="1" ht="14.25" customHeight="1" x14ac:dyDescent="0.3"/>
    <row r="803" s="7" customFormat="1" ht="14.25" customHeight="1" x14ac:dyDescent="0.3"/>
    <row r="804" s="7" customFormat="1" ht="14.25" customHeight="1" x14ac:dyDescent="0.3"/>
    <row r="805" s="7" customFormat="1" ht="14.25" customHeight="1" x14ac:dyDescent="0.3"/>
    <row r="806" s="7" customFormat="1" ht="14.25" customHeight="1" x14ac:dyDescent="0.3"/>
    <row r="807" s="7" customFormat="1" ht="14.25" customHeight="1" x14ac:dyDescent="0.3"/>
    <row r="808" s="7" customFormat="1" ht="14.25" customHeight="1" x14ac:dyDescent="0.3"/>
    <row r="809" s="7" customFormat="1" ht="14.25" customHeight="1" x14ac:dyDescent="0.3"/>
    <row r="810" s="7" customFormat="1" ht="14.25" customHeight="1" x14ac:dyDescent="0.3"/>
    <row r="811" s="7" customFormat="1" ht="14.25" customHeight="1" x14ac:dyDescent="0.3"/>
    <row r="812" s="7" customFormat="1" ht="14.25" customHeight="1" x14ac:dyDescent="0.3"/>
    <row r="813" s="7" customFormat="1" ht="14.25" customHeight="1" x14ac:dyDescent="0.3"/>
    <row r="814" s="7" customFormat="1" ht="14.25" customHeight="1" x14ac:dyDescent="0.3"/>
    <row r="815" s="7" customFormat="1" ht="14.25" customHeight="1" x14ac:dyDescent="0.3"/>
    <row r="816" s="7" customFormat="1" ht="14.25" customHeight="1" x14ac:dyDescent="0.3"/>
    <row r="817" s="7" customFormat="1" ht="14.25" customHeight="1" x14ac:dyDescent="0.3"/>
    <row r="818" s="7" customFormat="1" ht="14.25" customHeight="1" x14ac:dyDescent="0.3"/>
    <row r="819" s="7" customFormat="1" ht="14.25" customHeight="1" x14ac:dyDescent="0.3"/>
    <row r="820" s="7" customFormat="1" ht="14.25" customHeight="1" x14ac:dyDescent="0.3"/>
    <row r="821" s="7" customFormat="1" ht="14.25" customHeight="1" x14ac:dyDescent="0.3"/>
    <row r="822" s="7" customFormat="1" ht="14.25" customHeight="1" x14ac:dyDescent="0.3"/>
    <row r="823" s="7" customFormat="1" ht="14.25" customHeight="1" x14ac:dyDescent="0.3"/>
    <row r="824" s="7" customFormat="1" ht="14.25" customHeight="1" x14ac:dyDescent="0.3"/>
    <row r="825" s="7" customFormat="1" ht="14.25" customHeight="1" x14ac:dyDescent="0.3"/>
    <row r="826" s="7" customFormat="1" ht="14.25" customHeight="1" x14ac:dyDescent="0.3"/>
    <row r="827" s="7" customFormat="1" ht="14.25" customHeight="1" x14ac:dyDescent="0.3"/>
    <row r="828" s="7" customFormat="1" ht="14.25" customHeight="1" x14ac:dyDescent="0.3"/>
    <row r="829" s="7" customFormat="1" ht="14.25" customHeight="1" x14ac:dyDescent="0.3"/>
    <row r="830" s="7" customFormat="1" ht="14.25" customHeight="1" x14ac:dyDescent="0.3"/>
    <row r="831" s="7" customFormat="1" ht="14.25" customHeight="1" x14ac:dyDescent="0.3"/>
    <row r="832" s="7" customFormat="1" ht="14.25" customHeight="1" x14ac:dyDescent="0.3"/>
    <row r="833" s="7" customFormat="1" ht="14.25" customHeight="1" x14ac:dyDescent="0.3"/>
    <row r="834" s="7" customFormat="1" ht="14.25" customHeight="1" x14ac:dyDescent="0.3"/>
    <row r="835" s="7" customFormat="1" ht="14.25" customHeight="1" x14ac:dyDescent="0.3"/>
    <row r="836" s="7" customFormat="1" ht="14.25" customHeight="1" x14ac:dyDescent="0.3"/>
    <row r="837" s="7" customFormat="1" ht="14.25" customHeight="1" x14ac:dyDescent="0.3"/>
    <row r="838" s="7" customFormat="1" ht="14.25" customHeight="1" x14ac:dyDescent="0.3"/>
    <row r="839" s="7" customFormat="1" ht="14.25" customHeight="1" x14ac:dyDescent="0.3"/>
    <row r="840" s="7" customFormat="1" ht="14.25" customHeight="1" x14ac:dyDescent="0.3"/>
    <row r="841" s="7" customFormat="1" ht="14.25" customHeight="1" x14ac:dyDescent="0.3"/>
    <row r="842" s="7" customFormat="1" ht="14.25" customHeight="1" x14ac:dyDescent="0.3"/>
    <row r="843" s="7" customFormat="1" ht="14.25" customHeight="1" x14ac:dyDescent="0.3"/>
    <row r="844" s="7" customFormat="1" ht="14.25" customHeight="1" x14ac:dyDescent="0.3"/>
    <row r="845" s="7" customFormat="1" ht="14.25" customHeight="1" x14ac:dyDescent="0.3"/>
    <row r="846" s="7" customFormat="1" ht="14.25" customHeight="1" x14ac:dyDescent="0.3"/>
    <row r="847" s="7" customFormat="1" ht="14.25" customHeight="1" x14ac:dyDescent="0.3"/>
    <row r="848" s="7" customFormat="1" ht="14.25" customHeight="1" x14ac:dyDescent="0.3"/>
    <row r="849" s="7" customFormat="1" ht="14.25" customHeight="1" x14ac:dyDescent="0.3"/>
    <row r="850" s="7" customFormat="1" ht="14.25" customHeight="1" x14ac:dyDescent="0.3"/>
    <row r="851" s="7" customFormat="1" ht="14.25" customHeight="1" x14ac:dyDescent="0.3"/>
    <row r="852" s="7" customFormat="1" ht="14.25" customHeight="1" x14ac:dyDescent="0.3"/>
    <row r="853" s="7" customFormat="1" ht="14.25" customHeight="1" x14ac:dyDescent="0.3"/>
    <row r="854" s="7" customFormat="1" ht="14.25" customHeight="1" x14ac:dyDescent="0.3"/>
    <row r="855" s="7" customFormat="1" ht="14.25" customHeight="1" x14ac:dyDescent="0.3"/>
    <row r="856" s="7" customFormat="1" ht="14.25" customHeight="1" x14ac:dyDescent="0.3"/>
    <row r="857" s="7" customFormat="1" ht="14.25" customHeight="1" x14ac:dyDescent="0.3"/>
    <row r="858" s="7" customFormat="1" ht="14.25" customHeight="1" x14ac:dyDescent="0.3"/>
    <row r="859" s="7" customFormat="1" ht="14.25" customHeight="1" x14ac:dyDescent="0.3"/>
    <row r="860" s="7" customFormat="1" ht="14.25" customHeight="1" x14ac:dyDescent="0.3"/>
    <row r="861" s="7" customFormat="1" ht="14.25" customHeight="1" x14ac:dyDescent="0.3"/>
    <row r="862" s="7" customFormat="1" ht="14.25" customHeight="1" x14ac:dyDescent="0.3"/>
    <row r="863" s="7" customFormat="1" ht="14.25" customHeight="1" x14ac:dyDescent="0.3"/>
    <row r="864" s="7" customFormat="1" ht="14.25" customHeight="1" x14ac:dyDescent="0.3"/>
    <row r="865" s="7" customFormat="1" ht="14.25" customHeight="1" x14ac:dyDescent="0.3"/>
    <row r="866" s="7" customFormat="1" ht="14.25" customHeight="1" x14ac:dyDescent="0.3"/>
    <row r="867" s="7" customFormat="1" ht="14.25" customHeight="1" x14ac:dyDescent="0.3"/>
    <row r="868" s="7" customFormat="1" ht="14.25" customHeight="1" x14ac:dyDescent="0.3"/>
    <row r="869" s="7" customFormat="1" ht="14.25" customHeight="1" x14ac:dyDescent="0.3"/>
    <row r="870" s="7" customFormat="1" ht="14.25" customHeight="1" x14ac:dyDescent="0.3"/>
    <row r="871" s="7" customFormat="1" ht="14.25" customHeight="1" x14ac:dyDescent="0.3"/>
    <row r="872" s="7" customFormat="1" ht="14.25" customHeight="1" x14ac:dyDescent="0.3"/>
    <row r="873" s="7" customFormat="1" ht="14.25" customHeight="1" x14ac:dyDescent="0.3"/>
    <row r="874" s="7" customFormat="1" ht="14.25" customHeight="1" x14ac:dyDescent="0.3"/>
    <row r="875" s="7" customFormat="1" ht="14.25" customHeight="1" x14ac:dyDescent="0.3"/>
    <row r="876" s="7" customFormat="1" ht="14.25" customHeight="1" x14ac:dyDescent="0.3"/>
    <row r="877" s="7" customFormat="1" ht="14.25" customHeight="1" x14ac:dyDescent="0.3"/>
    <row r="878" s="7" customFormat="1" ht="14.25" customHeight="1" x14ac:dyDescent="0.3"/>
    <row r="879" s="7" customFormat="1" ht="14.25" customHeight="1" x14ac:dyDescent="0.3"/>
    <row r="880" s="7" customFormat="1" ht="14.25" customHeight="1" x14ac:dyDescent="0.3"/>
    <row r="881" s="7" customFormat="1" ht="14.25" customHeight="1" x14ac:dyDescent="0.3"/>
    <row r="882" s="7" customFormat="1" ht="14.25" customHeight="1" x14ac:dyDescent="0.3"/>
    <row r="883" s="7" customFormat="1" ht="14.25" customHeight="1" x14ac:dyDescent="0.3"/>
    <row r="884" s="7" customFormat="1" ht="14.25" customHeight="1" x14ac:dyDescent="0.3"/>
    <row r="885" s="7" customFormat="1" ht="14.25" customHeight="1" x14ac:dyDescent="0.3"/>
    <row r="886" s="7" customFormat="1" ht="14.25" customHeight="1" x14ac:dyDescent="0.3"/>
    <row r="887" s="7" customFormat="1" ht="14.25" customHeight="1" x14ac:dyDescent="0.3"/>
    <row r="888" s="7" customFormat="1" ht="14.25" customHeight="1" x14ac:dyDescent="0.3"/>
    <row r="889" s="7" customFormat="1" ht="14.25" customHeight="1" x14ac:dyDescent="0.3"/>
    <row r="890" s="7" customFormat="1" ht="14.25" customHeight="1" x14ac:dyDescent="0.3"/>
    <row r="891" s="7" customFormat="1" ht="14.25" customHeight="1" x14ac:dyDescent="0.3"/>
    <row r="892" s="7" customFormat="1" ht="14.25" customHeight="1" x14ac:dyDescent="0.3"/>
    <row r="893" s="7" customFormat="1" ht="14.25" customHeight="1" x14ac:dyDescent="0.3"/>
    <row r="894" s="7" customFormat="1" ht="14.25" customHeight="1" x14ac:dyDescent="0.3"/>
    <row r="895" s="7" customFormat="1" ht="14.25" customHeight="1" x14ac:dyDescent="0.3"/>
    <row r="896" s="7" customFormat="1" ht="14.25" customHeight="1" x14ac:dyDescent="0.3"/>
    <row r="897" s="7" customFormat="1" ht="14.25" customHeight="1" x14ac:dyDescent="0.3"/>
    <row r="898" s="7" customFormat="1" ht="14.25" customHeight="1" x14ac:dyDescent="0.3"/>
    <row r="899" s="7" customFormat="1" ht="14.25" customHeight="1" x14ac:dyDescent="0.3"/>
    <row r="900" s="7" customFormat="1" ht="14.25" customHeight="1" x14ac:dyDescent="0.3"/>
    <row r="901" s="7" customFormat="1" ht="14.25" customHeight="1" x14ac:dyDescent="0.3"/>
    <row r="902" s="7" customFormat="1" ht="14.25" customHeight="1" x14ac:dyDescent="0.3"/>
    <row r="903" s="7" customFormat="1" ht="14.25" customHeight="1" x14ac:dyDescent="0.3"/>
    <row r="904" s="7" customFormat="1" ht="14.25" customHeight="1" x14ac:dyDescent="0.3"/>
    <row r="905" s="7" customFormat="1" ht="14.25" customHeight="1" x14ac:dyDescent="0.3"/>
    <row r="906" s="7" customFormat="1" ht="14.25" customHeight="1" x14ac:dyDescent="0.3"/>
    <row r="907" s="7" customFormat="1" ht="14.25" customHeight="1" x14ac:dyDescent="0.3"/>
    <row r="908" s="7" customFormat="1" ht="14.25" customHeight="1" x14ac:dyDescent="0.3"/>
    <row r="909" s="7" customFormat="1" ht="14.25" customHeight="1" x14ac:dyDescent="0.3"/>
    <row r="910" s="7" customFormat="1" ht="14.25" customHeight="1" x14ac:dyDescent="0.3"/>
    <row r="911" s="7" customFormat="1" ht="14.25" customHeight="1" x14ac:dyDescent="0.3"/>
    <row r="912" s="7" customFormat="1" ht="14.25" customHeight="1" x14ac:dyDescent="0.3"/>
    <row r="913" s="7" customFormat="1" ht="14.25" customHeight="1" x14ac:dyDescent="0.3"/>
    <row r="914" s="7" customFormat="1" ht="14.25" customHeight="1" x14ac:dyDescent="0.3"/>
    <row r="915" s="7" customFormat="1" ht="14.25" customHeight="1" x14ac:dyDescent="0.3"/>
    <row r="916" s="7" customFormat="1" ht="14.25" customHeight="1" x14ac:dyDescent="0.3"/>
    <row r="917" s="7" customFormat="1" ht="14.25" customHeight="1" x14ac:dyDescent="0.3"/>
    <row r="918" s="7" customFormat="1" ht="14.25" customHeight="1" x14ac:dyDescent="0.3"/>
    <row r="919" s="7" customFormat="1" ht="14.25" customHeight="1" x14ac:dyDescent="0.3"/>
    <row r="920" s="7" customFormat="1" ht="14.25" customHeight="1" x14ac:dyDescent="0.3"/>
    <row r="921" s="7" customFormat="1" ht="14.25" customHeight="1" x14ac:dyDescent="0.3"/>
    <row r="922" s="7" customFormat="1" ht="14.25" customHeight="1" x14ac:dyDescent="0.3"/>
    <row r="923" s="7" customFormat="1" ht="14.25" customHeight="1" x14ac:dyDescent="0.3"/>
    <row r="924" s="7" customFormat="1" ht="14.25" customHeight="1" x14ac:dyDescent="0.3"/>
    <row r="925" s="7" customFormat="1" ht="14.25" customHeight="1" x14ac:dyDescent="0.3"/>
    <row r="926" s="7" customFormat="1" ht="14.25" customHeight="1" x14ac:dyDescent="0.3"/>
    <row r="927" s="7" customFormat="1" ht="14.25" customHeight="1" x14ac:dyDescent="0.3"/>
    <row r="928" s="7" customFormat="1" ht="14.25" customHeight="1" x14ac:dyDescent="0.3"/>
    <row r="929" s="7" customFormat="1" ht="14.25" customHeight="1" x14ac:dyDescent="0.3"/>
    <row r="930" s="7" customFormat="1" ht="14.25" customHeight="1" x14ac:dyDescent="0.3"/>
    <row r="931" s="7" customFormat="1" ht="14.25" customHeight="1" x14ac:dyDescent="0.3"/>
    <row r="932" s="7" customFormat="1" ht="14.25" customHeight="1" x14ac:dyDescent="0.3"/>
    <row r="933" s="7" customFormat="1" ht="14.25" customHeight="1" x14ac:dyDescent="0.3"/>
    <row r="934" s="7" customFormat="1" ht="14.25" customHeight="1" x14ac:dyDescent="0.3"/>
    <row r="935" s="7" customFormat="1" ht="14.25" customHeight="1" x14ac:dyDescent="0.3"/>
    <row r="936" s="7" customFormat="1" ht="14.25" customHeight="1" x14ac:dyDescent="0.3"/>
    <row r="937" s="7" customFormat="1" ht="14.25" customHeight="1" x14ac:dyDescent="0.3"/>
    <row r="938" s="7" customFormat="1" ht="14.25" customHeight="1" x14ac:dyDescent="0.3"/>
    <row r="939" s="7" customFormat="1" ht="14.25" customHeight="1" x14ac:dyDescent="0.3"/>
    <row r="940" s="7" customFormat="1" ht="14.25" customHeight="1" x14ac:dyDescent="0.3"/>
    <row r="941" s="7" customFormat="1" ht="14.25" customHeight="1" x14ac:dyDescent="0.3"/>
    <row r="942" s="7" customFormat="1" ht="14.25" customHeight="1" x14ac:dyDescent="0.3"/>
    <row r="943" s="7" customFormat="1" ht="14.25" customHeight="1" x14ac:dyDescent="0.3"/>
    <row r="944" s="7" customFormat="1" ht="14.25" customHeight="1" x14ac:dyDescent="0.3"/>
    <row r="945" s="7" customFormat="1" ht="14.25" customHeight="1" x14ac:dyDescent="0.3"/>
    <row r="946" s="7" customFormat="1" ht="14.25" customHeight="1" x14ac:dyDescent="0.3"/>
    <row r="947" s="7" customFormat="1" ht="14.25" customHeight="1" x14ac:dyDescent="0.3"/>
    <row r="948" s="7" customFormat="1" ht="14.25" customHeight="1" x14ac:dyDescent="0.3"/>
    <row r="949" s="7" customFormat="1" ht="14.25" customHeight="1" x14ac:dyDescent="0.3"/>
    <row r="950" s="7" customFormat="1" ht="14.25" customHeight="1" x14ac:dyDescent="0.3"/>
    <row r="951" s="7" customFormat="1" ht="14.25" customHeight="1" x14ac:dyDescent="0.3"/>
    <row r="952" s="7" customFormat="1" ht="14.25" customHeight="1" x14ac:dyDescent="0.3"/>
    <row r="953" s="7" customFormat="1" ht="14.25" customHeight="1" x14ac:dyDescent="0.3"/>
    <row r="954" s="7" customFormat="1" ht="14.25" customHeight="1" x14ac:dyDescent="0.3"/>
    <row r="955" s="7" customFormat="1" ht="14.25" customHeight="1" x14ac:dyDescent="0.3"/>
    <row r="956" s="7" customFormat="1" ht="14.25" customHeight="1" x14ac:dyDescent="0.3"/>
    <row r="957" s="7" customFormat="1" ht="14.25" customHeight="1" x14ac:dyDescent="0.3"/>
    <row r="958" s="7" customFormat="1" ht="14.25" customHeight="1" x14ac:dyDescent="0.3"/>
    <row r="959" s="7" customFormat="1" ht="14.25" customHeight="1" x14ac:dyDescent="0.3"/>
    <row r="960" s="7" customFormat="1" ht="14.25" customHeight="1" x14ac:dyDescent="0.3"/>
    <row r="961" s="7" customFormat="1" ht="14.25" customHeight="1" x14ac:dyDescent="0.3"/>
    <row r="962" s="7" customFormat="1" ht="14.25" customHeight="1" x14ac:dyDescent="0.3"/>
    <row r="963" s="7" customFormat="1" ht="14.25" customHeight="1" x14ac:dyDescent="0.3"/>
    <row r="964" s="7" customFormat="1" ht="14.25" customHeight="1" x14ac:dyDescent="0.3"/>
    <row r="965" s="7" customFormat="1" ht="14.25" customHeight="1" x14ac:dyDescent="0.3"/>
    <row r="966" s="7" customFormat="1" ht="14.25" customHeight="1" x14ac:dyDescent="0.3"/>
    <row r="967" s="7" customFormat="1" ht="14.25" customHeight="1" x14ac:dyDescent="0.3"/>
    <row r="968" s="7" customFormat="1" ht="14.25" customHeight="1" x14ac:dyDescent="0.3"/>
    <row r="969" s="7" customFormat="1" ht="14.25" customHeight="1" x14ac:dyDescent="0.3"/>
    <row r="970" s="7" customFormat="1" ht="14.25" customHeight="1" x14ac:dyDescent="0.3"/>
    <row r="971" s="7" customFormat="1" ht="14.25" customHeight="1" x14ac:dyDescent="0.3"/>
    <row r="972" s="7" customFormat="1" ht="14.25" customHeight="1" x14ac:dyDescent="0.3"/>
    <row r="973" s="7" customFormat="1" ht="14.25" customHeight="1" x14ac:dyDescent="0.3"/>
    <row r="974" s="7" customFormat="1" ht="14.25" customHeight="1" x14ac:dyDescent="0.3"/>
    <row r="975" s="7" customFormat="1" ht="14.25" customHeight="1" x14ac:dyDescent="0.3"/>
    <row r="976" s="7" customFormat="1" ht="14.25" customHeight="1" x14ac:dyDescent="0.3"/>
    <row r="977" s="7" customFormat="1" ht="14.25" customHeight="1" x14ac:dyDescent="0.3"/>
    <row r="978" s="7" customFormat="1" ht="14.25" customHeight="1" x14ac:dyDescent="0.3"/>
    <row r="979" s="7" customFormat="1" ht="14.25" customHeight="1" x14ac:dyDescent="0.3"/>
    <row r="980" s="7" customFormat="1" ht="14.25" customHeight="1" x14ac:dyDescent="0.3"/>
    <row r="981" s="7" customFormat="1" ht="14.25" customHeight="1" x14ac:dyDescent="0.3"/>
    <row r="982" s="7" customFormat="1" ht="14.25" customHeight="1" x14ac:dyDescent="0.3"/>
    <row r="983" s="7" customFormat="1" ht="14.25" customHeight="1" x14ac:dyDescent="0.3"/>
    <row r="984" s="7" customFormat="1" ht="14.25" customHeight="1" x14ac:dyDescent="0.3"/>
    <row r="985" s="7" customFormat="1" ht="14.25" customHeight="1" x14ac:dyDescent="0.3"/>
    <row r="986" s="7" customFormat="1" ht="14.25" customHeight="1" x14ac:dyDescent="0.3"/>
    <row r="987" s="7" customFormat="1" ht="14.25" customHeight="1" x14ac:dyDescent="0.3"/>
    <row r="988" s="7" customFormat="1" ht="14.25" customHeight="1" x14ac:dyDescent="0.3"/>
    <row r="989" s="7" customFormat="1" ht="14.25" customHeight="1" x14ac:dyDescent="0.3"/>
    <row r="990" s="7" customFormat="1" ht="14.25" customHeight="1" x14ac:dyDescent="0.3"/>
    <row r="991" s="7" customFormat="1" ht="14.25" customHeight="1" x14ac:dyDescent="0.3"/>
    <row r="992" s="7" customFormat="1" ht="14.25" customHeight="1" x14ac:dyDescent="0.3"/>
    <row r="993" s="7" customFormat="1" ht="14.25" customHeight="1" x14ac:dyDescent="0.3"/>
    <row r="994" s="7" customFormat="1" ht="14.25" customHeight="1" x14ac:dyDescent="0.3"/>
    <row r="995" s="7" customFormat="1" ht="14.25" customHeight="1" x14ac:dyDescent="0.3"/>
    <row r="996" s="7" customFormat="1" ht="14.25" customHeight="1" x14ac:dyDescent="0.3"/>
    <row r="997" s="7" customFormat="1" ht="14.25" customHeight="1" x14ac:dyDescent="0.3"/>
    <row r="998" s="7" customFormat="1" ht="14.25" customHeight="1" x14ac:dyDescent="0.3"/>
    <row r="999" s="7" customFormat="1" ht="14.25" customHeight="1" x14ac:dyDescent="0.3"/>
    <row r="1000" s="7" customFormat="1" ht="14.25" customHeight="1" x14ac:dyDescent="0.3"/>
    <row r="1001" s="7" customFormat="1" ht="14.25" customHeight="1" x14ac:dyDescent="0.3"/>
  </sheetData>
  <pageMargins left="0.25" right="0.25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pane ySplit="1" topLeftCell="A2" activePane="bottomLeft" state="frozen"/>
      <selection pane="bottomLeft" activeCell="A105" sqref="A1:XFD1048576"/>
    </sheetView>
  </sheetViews>
  <sheetFormatPr defaultColWidth="14.44140625" defaultRowHeight="15" customHeight="1" x14ac:dyDescent="0.3"/>
  <cols>
    <col min="1" max="1" width="66.109375" style="7" customWidth="1"/>
    <col min="2" max="2" width="22.44140625" style="7" customWidth="1"/>
    <col min="3" max="3" width="22" style="7" customWidth="1"/>
    <col min="4" max="4" width="22.109375" style="7" customWidth="1"/>
    <col min="5" max="7" width="20.5546875" style="7" customWidth="1"/>
    <col min="8" max="8" width="9" style="7" customWidth="1"/>
    <col min="9" max="9" width="27" style="7" customWidth="1"/>
    <col min="10" max="14" width="21.5546875" style="7" customWidth="1"/>
    <col min="15" max="26" width="9" style="7" customWidth="1"/>
    <col min="27" max="16384" width="14.44140625" style="7"/>
  </cols>
  <sheetData>
    <row r="1" spans="1:14" ht="14.25" customHeight="1" x14ac:dyDescent="0.3">
      <c r="A1" s="50" t="s">
        <v>2</v>
      </c>
      <c r="B1" s="9">
        <v>2025</v>
      </c>
      <c r="C1" s="9">
        <v>2026</v>
      </c>
      <c r="D1" s="9">
        <v>2027</v>
      </c>
      <c r="E1" s="9">
        <v>2028</v>
      </c>
      <c r="F1" s="9">
        <v>2029</v>
      </c>
      <c r="G1" s="9">
        <v>2030</v>
      </c>
    </row>
    <row r="2" spans="1:14" ht="14.25" customHeight="1" x14ac:dyDescent="0.3">
      <c r="A2" s="51" t="s">
        <v>5</v>
      </c>
      <c r="B2" s="43">
        <v>10896989276040</v>
      </c>
      <c r="C2" s="43">
        <f>Sales!J31</f>
        <v>12339248126727.582</v>
      </c>
      <c r="D2" s="43">
        <f>Sales!K31</f>
        <v>14863538802259.41</v>
      </c>
      <c r="E2" s="43">
        <f>Sales!L31</f>
        <v>16299400171267.627</v>
      </c>
      <c r="F2" s="43">
        <f>Sales!M31</f>
        <v>17615176001251.895</v>
      </c>
      <c r="G2" s="43">
        <f>Sales!N31</f>
        <v>18137279065163.402</v>
      </c>
    </row>
    <row r="3" spans="1:14" ht="14.25" customHeight="1" x14ac:dyDescent="0.35">
      <c r="A3" s="52" t="s">
        <v>426</v>
      </c>
      <c r="B3" s="23"/>
      <c r="C3" s="53">
        <f t="shared" ref="C3:G3" si="0">(C2-B2)/B2</f>
        <v>0.13235388364185888</v>
      </c>
      <c r="D3" s="53">
        <f t="shared" si="0"/>
        <v>0.20457410772574197</v>
      </c>
      <c r="E3" s="53">
        <f t="shared" si="0"/>
        <v>9.6602928018053896E-2</v>
      </c>
      <c r="F3" s="53">
        <f t="shared" si="0"/>
        <v>8.0725414196756773E-2</v>
      </c>
      <c r="G3" s="53">
        <f t="shared" si="0"/>
        <v>2.9639389573763126E-2</v>
      </c>
    </row>
    <row r="4" spans="1:14" ht="14.25" customHeight="1" x14ac:dyDescent="0.3">
      <c r="A4" s="51" t="s">
        <v>9</v>
      </c>
      <c r="B4" s="23">
        <v>8819108718862</v>
      </c>
      <c r="C4" s="23">
        <f>Sales!J32</f>
        <v>9406817093909.8398</v>
      </c>
      <c r="D4" s="23">
        <f>Sales!K32</f>
        <v>11315329094548.566</v>
      </c>
      <c r="E4" s="23">
        <f>Sales!L32</f>
        <v>11489269903925.508</v>
      </c>
      <c r="F4" s="23">
        <f>Sales!M32</f>
        <v>12211739701458.492</v>
      </c>
      <c r="G4" s="23">
        <f>Sales!N32</f>
        <v>12387608488062.477</v>
      </c>
      <c r="I4" s="22"/>
      <c r="J4" s="9">
        <v>2026</v>
      </c>
      <c r="K4" s="9">
        <v>2027</v>
      </c>
      <c r="L4" s="9">
        <v>2028</v>
      </c>
      <c r="M4" s="9">
        <v>2029</v>
      </c>
      <c r="N4" s="9">
        <v>2030</v>
      </c>
    </row>
    <row r="5" spans="1:14" ht="14.25" customHeight="1" x14ac:dyDescent="0.3">
      <c r="A5" s="51" t="s">
        <v>10</v>
      </c>
      <c r="B5" s="23">
        <v>2077880557178</v>
      </c>
      <c r="C5" s="23">
        <f>Sales!J33</f>
        <v>2932431032817.7432</v>
      </c>
      <c r="D5" s="23">
        <f>Sales!K33</f>
        <v>3548209707710.8442</v>
      </c>
      <c r="E5" s="23">
        <f>Sales!L33</f>
        <v>4810130267342.1191</v>
      </c>
      <c r="F5" s="23">
        <f>Sales!M33</f>
        <v>5403436299793.4023</v>
      </c>
      <c r="G5" s="23">
        <f>Sales!N33</f>
        <v>5749670577100.9258</v>
      </c>
      <c r="I5" s="22" t="s">
        <v>16</v>
      </c>
      <c r="J5" s="23">
        <f t="shared" ref="J5:N5" si="1">C9</f>
        <v>1947992609681.0566</v>
      </c>
      <c r="K5" s="23">
        <f t="shared" si="1"/>
        <v>2238959152893.2085</v>
      </c>
      <c r="L5" s="23">
        <f t="shared" si="1"/>
        <v>2507184750123.4873</v>
      </c>
      <c r="M5" s="23">
        <f t="shared" si="1"/>
        <v>2872338031750.6421</v>
      </c>
      <c r="N5" s="23">
        <f t="shared" si="1"/>
        <v>3136711880030.3115</v>
      </c>
    </row>
    <row r="6" spans="1:14" ht="14.25" customHeight="1" x14ac:dyDescent="0.3">
      <c r="A6" s="22" t="s">
        <v>11</v>
      </c>
      <c r="B6" s="23">
        <v>854998891466</v>
      </c>
      <c r="C6" s="23">
        <f>C2*'Historical Data'!$N$15</f>
        <v>1159551235736.3833</v>
      </c>
      <c r="D6" s="23">
        <f>D2*'Historical Data'!$N$15</f>
        <v>1396765395149.4353</v>
      </c>
      <c r="E6" s="23">
        <f>E2*'Historical Data'!$O$15</f>
        <v>2346667030638.5464</v>
      </c>
      <c r="F6" s="23">
        <f>F2*'Historical Data'!$O$15</f>
        <v>2536102698668.7163</v>
      </c>
      <c r="G6" s="23">
        <f>G2*'Historical Data'!$O$15</f>
        <v>2611271234553.6304</v>
      </c>
      <c r="I6" s="22" t="s">
        <v>15</v>
      </c>
      <c r="J6" s="54">
        <f>Depreciation!G4</f>
        <v>853902143846.25049</v>
      </c>
      <c r="K6" s="54">
        <f>Depreciation!H4</f>
        <v>906956387143.78259</v>
      </c>
      <c r="L6" s="54">
        <f>Depreciation!I4</f>
        <v>944623645530.66724</v>
      </c>
      <c r="M6" s="54">
        <f>Depreciation!J4</f>
        <v>985146920375.35645</v>
      </c>
      <c r="N6" s="54">
        <f>Depreciation!K4</f>
        <v>1028688465571.5103</v>
      </c>
    </row>
    <row r="7" spans="1:14" ht="14.25" customHeight="1" x14ac:dyDescent="0.3">
      <c r="A7" s="22" t="s">
        <v>12</v>
      </c>
      <c r="B7" s="23">
        <v>301371686732</v>
      </c>
      <c r="C7" s="23">
        <f>C2*'Historical Data'!$M$16</f>
        <v>493569925069.10327</v>
      </c>
      <c r="D7" s="23">
        <f>D2*'Historical Data'!$M$16</f>
        <v>594541552090.37646</v>
      </c>
      <c r="E7" s="23">
        <f>E2*'Historical Data'!$M$16</f>
        <v>651976006850.70508</v>
      </c>
      <c r="F7" s="23">
        <f>F2*'Historical Data'!$M$16</f>
        <v>704607040050.07581</v>
      </c>
      <c r="G7" s="23">
        <f>G2*'Historical Data'!$M$16</f>
        <v>725491162606.53613</v>
      </c>
      <c r="I7" s="22" t="s">
        <v>14</v>
      </c>
      <c r="J7" s="23">
        <f t="shared" ref="J7:N7" si="2">SUM(J5:J6)</f>
        <v>2801894753527.3071</v>
      </c>
      <c r="K7" s="23">
        <f t="shared" si="2"/>
        <v>3145915540036.9912</v>
      </c>
      <c r="L7" s="23">
        <f t="shared" si="2"/>
        <v>3451808395654.1543</v>
      </c>
      <c r="M7" s="23">
        <f t="shared" si="2"/>
        <v>3857484952125.9985</v>
      </c>
      <c r="N7" s="23">
        <f t="shared" si="2"/>
        <v>4165400345601.8218</v>
      </c>
    </row>
    <row r="8" spans="1:14" ht="14.25" customHeight="1" x14ac:dyDescent="0.3">
      <c r="A8" s="22" t="s">
        <v>13</v>
      </c>
      <c r="B8" s="23">
        <v>655571311440</v>
      </c>
      <c r="C8" s="23">
        <f t="shared" ref="C8:G8" si="3">B8*(1+2%)</f>
        <v>668682737668.80005</v>
      </c>
      <c r="D8" s="23">
        <f t="shared" si="3"/>
        <v>682056392422.17603</v>
      </c>
      <c r="E8" s="23">
        <f t="shared" si="3"/>
        <v>695697520270.61951</v>
      </c>
      <c r="F8" s="23">
        <f t="shared" si="3"/>
        <v>709611470676.03186</v>
      </c>
      <c r="G8" s="23">
        <f t="shared" si="3"/>
        <v>723803700089.55249</v>
      </c>
    </row>
    <row r="9" spans="1:14" ht="14.25" customHeight="1" x14ac:dyDescent="0.3">
      <c r="A9" s="26" t="s">
        <v>16</v>
      </c>
      <c r="B9" s="23">
        <v>1577081290420</v>
      </c>
      <c r="C9" s="23">
        <f t="shared" ref="C9:G9" si="4">C5-C6-C7+C8</f>
        <v>1947992609681.0566</v>
      </c>
      <c r="D9" s="23">
        <f t="shared" si="4"/>
        <v>2238959152893.2085</v>
      </c>
      <c r="E9" s="23">
        <f t="shared" si="4"/>
        <v>2507184750123.4873</v>
      </c>
      <c r="F9" s="23">
        <f t="shared" si="4"/>
        <v>2872338031750.6421</v>
      </c>
      <c r="G9" s="23">
        <f t="shared" si="4"/>
        <v>3136711880030.3115</v>
      </c>
    </row>
    <row r="10" spans="1:14" ht="14.25" customHeight="1" x14ac:dyDescent="0.3">
      <c r="A10" s="22" t="s">
        <v>17</v>
      </c>
      <c r="B10" s="23">
        <v>190796075404</v>
      </c>
      <c r="C10" s="23">
        <f>Debt!G10</f>
        <v>299003501148.29999</v>
      </c>
      <c r="D10" s="23">
        <f>Debt!H10</f>
        <v>304189958156.91223</v>
      </c>
      <c r="E10" s="23">
        <f>Debt!I10</f>
        <v>350659079322.02344</v>
      </c>
      <c r="F10" s="23">
        <f>Debt!J10</f>
        <v>218655229592.96735</v>
      </c>
      <c r="G10" s="23">
        <f>Debt!K10</f>
        <v>205697196124.49609</v>
      </c>
    </row>
    <row r="11" spans="1:14" ht="14.25" customHeight="1" x14ac:dyDescent="0.3">
      <c r="A11" s="26" t="s">
        <v>18</v>
      </c>
      <c r="B11" s="23">
        <v>1386285215016</v>
      </c>
      <c r="C11" s="23">
        <f t="shared" ref="C11:G11" si="5">C9-C10</f>
        <v>1648989108532.7566</v>
      </c>
      <c r="D11" s="23">
        <f t="shared" si="5"/>
        <v>1934769194736.2964</v>
      </c>
      <c r="E11" s="23">
        <f t="shared" si="5"/>
        <v>2156525670801.4639</v>
      </c>
      <c r="F11" s="23">
        <f t="shared" si="5"/>
        <v>2653682802157.6748</v>
      </c>
      <c r="G11" s="23">
        <f t="shared" si="5"/>
        <v>2931014683905.8154</v>
      </c>
    </row>
    <row r="12" spans="1:14" ht="14.25" customHeight="1" x14ac:dyDescent="0.3">
      <c r="A12" s="22" t="s">
        <v>101</v>
      </c>
      <c r="B12" s="23">
        <v>334712223084</v>
      </c>
      <c r="C12" s="23">
        <f>WACC!$B$13*C11</f>
        <v>329797821706.55133</v>
      </c>
      <c r="D12" s="23">
        <f>WACC!$B$13*D11</f>
        <v>386953838947.25928</v>
      </c>
      <c r="E12" s="23">
        <f>WACC!$B$13*E11</f>
        <v>431305134160.29279</v>
      </c>
      <c r="F12" s="23">
        <f>WACC!$B$13*F11</f>
        <v>530736560431.53497</v>
      </c>
      <c r="G12" s="23">
        <f>WACC!$B$13*G11</f>
        <v>586202936781.16309</v>
      </c>
    </row>
    <row r="13" spans="1:14" ht="14.25" customHeight="1" x14ac:dyDescent="0.3">
      <c r="A13" s="31" t="s">
        <v>21</v>
      </c>
      <c r="B13" s="43">
        <v>1051572991932</v>
      </c>
      <c r="C13" s="43">
        <f t="shared" ref="C13:G13" si="6">C11-C12</f>
        <v>1319191286826.2053</v>
      </c>
      <c r="D13" s="43">
        <f t="shared" si="6"/>
        <v>1547815355789.0371</v>
      </c>
      <c r="E13" s="43">
        <f t="shared" si="6"/>
        <v>1725220536641.1711</v>
      </c>
      <c r="F13" s="43">
        <f t="shared" si="6"/>
        <v>2122946241726.1399</v>
      </c>
      <c r="G13" s="43">
        <f t="shared" si="6"/>
        <v>2344811747124.6523</v>
      </c>
    </row>
    <row r="14" spans="1:14" ht="14.25" customHeight="1" x14ac:dyDescent="0.3">
      <c r="A14" s="22" t="s">
        <v>22</v>
      </c>
      <c r="B14" s="23">
        <v>1038634292340</v>
      </c>
      <c r="C14" s="23">
        <f t="shared" ref="C14:G14" si="7">C13-C15</f>
        <v>1305864426246.4453</v>
      </c>
      <c r="D14" s="23">
        <f t="shared" si="7"/>
        <v>1534088689391.8843</v>
      </c>
      <c r="E14" s="23">
        <f t="shared" si="7"/>
        <v>1711082070252.1038</v>
      </c>
      <c r="F14" s="23">
        <f t="shared" si="7"/>
        <v>2108383621345.4004</v>
      </c>
      <c r="G14" s="23">
        <f t="shared" si="7"/>
        <v>2329812248132.4907</v>
      </c>
    </row>
    <row r="15" spans="1:14" ht="14.25" customHeight="1" x14ac:dyDescent="0.3">
      <c r="A15" s="22" t="s">
        <v>23</v>
      </c>
      <c r="B15" s="23">
        <v>12938699592</v>
      </c>
      <c r="C15" s="54">
        <f t="shared" ref="C15:G15" si="8">B15*(1+3%)</f>
        <v>13326860579.76</v>
      </c>
      <c r="D15" s="54">
        <f t="shared" si="8"/>
        <v>13726666397.152802</v>
      </c>
      <c r="E15" s="54">
        <f t="shared" si="8"/>
        <v>14138466389.067387</v>
      </c>
      <c r="F15" s="54">
        <f t="shared" si="8"/>
        <v>14562620380.739408</v>
      </c>
      <c r="G15" s="54">
        <f t="shared" si="8"/>
        <v>14999498992.161591</v>
      </c>
    </row>
    <row r="16" spans="1:14" ht="14.25" customHeight="1" x14ac:dyDescent="0.3">
      <c r="A16" s="22" t="s">
        <v>102</v>
      </c>
      <c r="B16" s="54"/>
      <c r="C16" s="54">
        <f t="shared" ref="C16:G16" si="9">C17*C14</f>
        <v>1240571204934.123</v>
      </c>
      <c r="D16" s="54">
        <f t="shared" si="9"/>
        <v>1534088689391.8843</v>
      </c>
      <c r="E16" s="54">
        <f t="shared" si="9"/>
        <v>1711082070252.1038</v>
      </c>
      <c r="F16" s="54">
        <f t="shared" si="9"/>
        <v>1897545259210.8604</v>
      </c>
      <c r="G16" s="54">
        <f t="shared" si="9"/>
        <v>2096831023319.2417</v>
      </c>
    </row>
    <row r="17" spans="1:13" ht="14.25" customHeight="1" x14ac:dyDescent="0.3">
      <c r="A17" s="22" t="s">
        <v>427</v>
      </c>
      <c r="B17" s="53"/>
      <c r="C17" s="53">
        <v>0.95</v>
      </c>
      <c r="D17" s="53">
        <v>1</v>
      </c>
      <c r="E17" s="53">
        <v>1</v>
      </c>
      <c r="F17" s="53">
        <v>0.9</v>
      </c>
      <c r="G17" s="53">
        <v>0.9</v>
      </c>
    </row>
    <row r="18" spans="1:13" ht="14.25" customHeight="1" x14ac:dyDescent="0.3">
      <c r="B18" s="45"/>
      <c r="C18" s="11"/>
      <c r="D18" s="11"/>
      <c r="E18" s="11"/>
      <c r="F18" s="11"/>
      <c r="G18" s="11"/>
    </row>
    <row r="19" spans="1:13" ht="14.25" customHeight="1" x14ac:dyDescent="0.3">
      <c r="A19" s="35"/>
      <c r="B19" s="55"/>
      <c r="C19" s="11"/>
      <c r="D19" s="11"/>
      <c r="E19" s="11"/>
      <c r="F19" s="11"/>
      <c r="G19" s="11"/>
    </row>
    <row r="20" spans="1:13" ht="14.25" customHeight="1" x14ac:dyDescent="0.3">
      <c r="A20" s="6" t="s">
        <v>25</v>
      </c>
      <c r="B20" s="45"/>
      <c r="C20" s="11"/>
      <c r="D20" s="11"/>
      <c r="E20" s="11"/>
      <c r="F20" s="11"/>
      <c r="G20" s="11"/>
    </row>
    <row r="21" spans="1:13" ht="14.25" customHeight="1" x14ac:dyDescent="0.3">
      <c r="A21" s="8" t="s">
        <v>26</v>
      </c>
      <c r="B21" s="9">
        <v>2025</v>
      </c>
      <c r="C21" s="9">
        <v>2026</v>
      </c>
      <c r="D21" s="9">
        <v>2027</v>
      </c>
      <c r="E21" s="9">
        <v>2028</v>
      </c>
      <c r="F21" s="9">
        <v>2029</v>
      </c>
      <c r="G21" s="9">
        <v>2030</v>
      </c>
    </row>
    <row r="22" spans="1:13" ht="14.25" customHeight="1" x14ac:dyDescent="0.3">
      <c r="A22" s="36" t="s">
        <v>27</v>
      </c>
      <c r="B22" s="43">
        <v>9657061718516</v>
      </c>
      <c r="C22" s="43">
        <f t="shared" ref="C22:G22" si="10">SUM(C23:C27)</f>
        <v>10315217826337.457</v>
      </c>
      <c r="D22" s="43">
        <f t="shared" si="10"/>
        <v>12233934851611.945</v>
      </c>
      <c r="E22" s="43">
        <f t="shared" si="10"/>
        <v>13132849350046.143</v>
      </c>
      <c r="F22" s="43">
        <f t="shared" si="10"/>
        <v>14523141315466.957</v>
      </c>
      <c r="G22" s="43">
        <f t="shared" si="10"/>
        <v>16157935890314.686</v>
      </c>
    </row>
    <row r="23" spans="1:13" ht="14.25" customHeight="1" x14ac:dyDescent="0.3">
      <c r="A23" s="22" t="s">
        <v>28</v>
      </c>
      <c r="B23" s="23">
        <v>1821273980243</v>
      </c>
      <c r="C23" s="23">
        <f>'Historical Data'!$N$34*C2-C59</f>
        <v>1850887219009.1372</v>
      </c>
      <c r="D23" s="23">
        <f>'Historical Data'!$N$34*D2</f>
        <v>2229530820338.9116</v>
      </c>
      <c r="E23" s="23">
        <f>'Historical Data'!$N$34*E2</f>
        <v>2444910025690.144</v>
      </c>
      <c r="F23" s="23">
        <f>'Historical Data'!$N$34*F2-F59</f>
        <v>2642276400187.7842</v>
      </c>
      <c r="G23" s="23">
        <f>'Historical Data'!$N$34*G2-G59</f>
        <v>3018641985940.3101</v>
      </c>
      <c r="I23" s="28"/>
      <c r="J23" s="28"/>
      <c r="K23" s="28"/>
      <c r="L23" s="28"/>
      <c r="M23" s="28"/>
    </row>
    <row r="24" spans="1:13" ht="14.25" customHeight="1" x14ac:dyDescent="0.3">
      <c r="A24" s="22" t="s">
        <v>29</v>
      </c>
      <c r="B24" s="23">
        <v>688956087159</v>
      </c>
      <c r="C24" s="23">
        <v>688956087159</v>
      </c>
      <c r="D24" s="23">
        <v>688956087159</v>
      </c>
      <c r="E24" s="23">
        <v>688956087159</v>
      </c>
      <c r="F24" s="23">
        <f>792299500232.85-F60</f>
        <v>1129961459744.8501</v>
      </c>
      <c r="G24" s="23">
        <f>911144425267.777-G60</f>
        <v>2103344929930.9771</v>
      </c>
    </row>
    <row r="25" spans="1:13" ht="14.25" customHeight="1" x14ac:dyDescent="0.3">
      <c r="A25" s="22" t="s">
        <v>30</v>
      </c>
      <c r="B25" s="23">
        <v>5320195613823</v>
      </c>
      <c r="C25" s="23">
        <f>C2*CCC!$H$2/365</f>
        <v>5408985480209.3506</v>
      </c>
      <c r="D25" s="23">
        <f>D2*CCC!$H$2/365</f>
        <v>6515523858524.6729</v>
      </c>
      <c r="E25" s="23">
        <f>E2*CCC!$H$2/365</f>
        <v>7144942540829.6455</v>
      </c>
      <c r="F25" s="23">
        <f>F2*CCC!$H$2/365</f>
        <v>7721720986850.1455</v>
      </c>
      <c r="G25" s="23">
        <f>G2*CCC!$H$2/365</f>
        <v>7950588083359.2998</v>
      </c>
    </row>
    <row r="26" spans="1:13" ht="14.25" customHeight="1" x14ac:dyDescent="0.3">
      <c r="A26" s="22" t="s">
        <v>31</v>
      </c>
      <c r="B26" s="23">
        <v>1536520885112</v>
      </c>
      <c r="C26" s="23">
        <f>C4*CCC!$H$3/365</f>
        <v>2061768130172.0198</v>
      </c>
      <c r="D26" s="23">
        <f>D4*CCC!$H$3/365</f>
        <v>2480072130312.0142</v>
      </c>
      <c r="E26" s="23">
        <f>E4*CCC!$H$3/365</f>
        <v>2518196143326.1387</v>
      </c>
      <c r="F26" s="23">
        <f>F4*CCC!$H$3/365</f>
        <v>2676545687990.9023</v>
      </c>
      <c r="G26" s="23">
        <f>G4*CCC!$H$3/365</f>
        <v>2715092271356.1592</v>
      </c>
    </row>
    <row r="27" spans="1:13" ht="14.25" customHeight="1" x14ac:dyDescent="0.3">
      <c r="A27" s="22" t="s">
        <v>32</v>
      </c>
      <c r="B27" s="23">
        <v>290115152179</v>
      </c>
      <c r="C27" s="23">
        <f t="shared" ref="C27:G27" si="11">B27*(1+5%)</f>
        <v>304620909787.95001</v>
      </c>
      <c r="D27" s="23">
        <f t="shared" si="11"/>
        <v>319851955277.34753</v>
      </c>
      <c r="E27" s="23">
        <f t="shared" si="11"/>
        <v>335844553041.2149</v>
      </c>
      <c r="F27" s="23">
        <f t="shared" si="11"/>
        <v>352636780693.27563</v>
      </c>
      <c r="G27" s="23">
        <f t="shared" si="11"/>
        <v>370268619727.93945</v>
      </c>
    </row>
    <row r="28" spans="1:13" ht="14.25" customHeight="1" x14ac:dyDescent="0.3">
      <c r="A28" s="36" t="s">
        <v>33</v>
      </c>
      <c r="B28" s="43">
        <v>18652800964234</v>
      </c>
      <c r="C28" s="43">
        <f t="shared" ref="C28:G28" si="12">SUM(C29:C33)</f>
        <v>20363168318957.02</v>
      </c>
      <c r="D28" s="43">
        <f t="shared" si="12"/>
        <v>21664785200509.668</v>
      </c>
      <c r="E28" s="43">
        <f t="shared" si="12"/>
        <v>20231358462510.844</v>
      </c>
      <c r="F28" s="43">
        <f t="shared" si="12"/>
        <v>21137908493940.977</v>
      </c>
      <c r="G28" s="43">
        <f t="shared" si="12"/>
        <v>22153675667373.477</v>
      </c>
    </row>
    <row r="29" spans="1:13" ht="14.25" customHeight="1" x14ac:dyDescent="0.3">
      <c r="A29" s="22" t="s">
        <v>34</v>
      </c>
      <c r="B29" s="23">
        <v>227517444064</v>
      </c>
      <c r="C29" s="23">
        <f>C2*'Historical Data'!$M$40</f>
        <v>341044190826.03455</v>
      </c>
      <c r="D29" s="23">
        <f>D2*'Historical Data'!$M$40</f>
        <v>410813001859.31824</v>
      </c>
      <c r="E29" s="23">
        <f>E2*'Historical Data'!$M$40</f>
        <v>450498740706.81458</v>
      </c>
      <c r="F29" s="23">
        <f>F2*'Historical Data'!$M$40</f>
        <v>486865438145.4895</v>
      </c>
      <c r="G29" s="23">
        <f>G2*'Historical Data'!$M$40</f>
        <v>501295832536.68457</v>
      </c>
    </row>
    <row r="30" spans="1:13" ht="14.25" customHeight="1" x14ac:dyDescent="0.3">
      <c r="A30" s="22" t="s">
        <v>35</v>
      </c>
      <c r="B30" s="23">
        <v>14607847812254</v>
      </c>
      <c r="C30" s="23">
        <f>'Fixed Asset'!H4</f>
        <v>15931564070372.533</v>
      </c>
      <c r="D30" s="23">
        <f>'Fixed Asset'!I4</f>
        <v>17078703598641.273</v>
      </c>
      <c r="E30" s="23">
        <f>'Fixed Asset'!J4</f>
        <v>17672722546058.801</v>
      </c>
      <c r="F30" s="23">
        <f>'Fixed Asset'!K4</f>
        <v>18329357802659.449</v>
      </c>
      <c r="G30" s="23">
        <f>'Fixed Asset'!L4</f>
        <v>19052398491138.629</v>
      </c>
    </row>
    <row r="31" spans="1:13" ht="14.25" customHeight="1" x14ac:dyDescent="0.3">
      <c r="A31" s="22" t="s">
        <v>41</v>
      </c>
      <c r="B31" s="23">
        <v>2203939665047</v>
      </c>
      <c r="C31" s="23">
        <f>(B31-2043730452301)+'Drilling Service'!H67</f>
        <v>2396389212746</v>
      </c>
      <c r="D31" s="23">
        <f>C31-'Drilling Service'!H67+'Drilling Service'!H68</f>
        <v>2396389212746</v>
      </c>
      <c r="E31" s="23">
        <f>(D31-'Drilling Service'!H68)*(1+50%)</f>
        <v>240313819119</v>
      </c>
      <c r="F31" s="23">
        <f t="shared" ref="F31:G31" si="13">E31*(1+50%)</f>
        <v>360470728678.5</v>
      </c>
      <c r="G31" s="23">
        <f t="shared" si="13"/>
        <v>540706093017.75</v>
      </c>
    </row>
    <row r="32" spans="1:13" ht="14.25" customHeight="1" x14ac:dyDescent="0.3">
      <c r="A32" s="22" t="s">
        <v>42</v>
      </c>
      <c r="B32" s="23">
        <v>770410778053</v>
      </c>
      <c r="C32" s="23">
        <f t="shared" ref="C32:G32" si="14">B32*(1+5%)</f>
        <v>808931316955.65002</v>
      </c>
      <c r="D32" s="23">
        <f t="shared" si="14"/>
        <v>849377882803.43262</v>
      </c>
      <c r="E32" s="23">
        <f t="shared" si="14"/>
        <v>891846776943.60425</v>
      </c>
      <c r="F32" s="23">
        <f t="shared" si="14"/>
        <v>936439115790.78455</v>
      </c>
      <c r="G32" s="23">
        <f t="shared" si="14"/>
        <v>983261071580.32385</v>
      </c>
    </row>
    <row r="33" spans="1:13" ht="14.25" customHeight="1" x14ac:dyDescent="0.3">
      <c r="A33" s="22" t="s">
        <v>43</v>
      </c>
      <c r="B33" s="23">
        <v>843085264816</v>
      </c>
      <c r="C33" s="23">
        <f t="shared" ref="C33:G33" si="15">B33*(1+5%)</f>
        <v>885239528056.80005</v>
      </c>
      <c r="D33" s="23">
        <f t="shared" si="15"/>
        <v>929501504459.64014</v>
      </c>
      <c r="E33" s="23">
        <f t="shared" si="15"/>
        <v>975976579682.62219</v>
      </c>
      <c r="F33" s="23">
        <f t="shared" si="15"/>
        <v>1024775408666.7533</v>
      </c>
      <c r="G33" s="23">
        <f t="shared" si="15"/>
        <v>1076014179100.0911</v>
      </c>
    </row>
    <row r="34" spans="1:13" ht="14.25" customHeight="1" x14ac:dyDescent="0.3">
      <c r="A34" s="41" t="s">
        <v>44</v>
      </c>
      <c r="B34" s="42">
        <v>28309862682750</v>
      </c>
      <c r="C34" s="42">
        <f t="shared" ref="C34:G34" si="16">SUM(C22,C28)</f>
        <v>30678386145294.477</v>
      </c>
      <c r="D34" s="42">
        <f t="shared" si="16"/>
        <v>33898720052121.613</v>
      </c>
      <c r="E34" s="42">
        <f t="shared" si="16"/>
        <v>33364207812556.984</v>
      </c>
      <c r="F34" s="42">
        <f t="shared" si="16"/>
        <v>35661049809407.938</v>
      </c>
      <c r="G34" s="42">
        <f t="shared" si="16"/>
        <v>38311611557688.164</v>
      </c>
    </row>
    <row r="35" spans="1:13" ht="14.25" customHeight="1" x14ac:dyDescent="0.3">
      <c r="A35" s="36" t="s">
        <v>45</v>
      </c>
      <c r="B35" s="43">
        <v>11211575733628</v>
      </c>
      <c r="C35" s="43">
        <f t="shared" ref="C35:G35" si="17">SUM(C36,C41)</f>
        <v>10811905864642.727</v>
      </c>
      <c r="D35" s="43">
        <f t="shared" si="17"/>
        <v>10625284333151.633</v>
      </c>
      <c r="E35" s="43">
        <f t="shared" si="17"/>
        <v>8037141667109.9131</v>
      </c>
      <c r="F35" s="43">
        <f t="shared" si="17"/>
        <v>8083613597837.9141</v>
      </c>
      <c r="G35" s="43">
        <f t="shared" si="17"/>
        <v>8273934771679.9648</v>
      </c>
    </row>
    <row r="36" spans="1:13" ht="14.25" customHeight="1" x14ac:dyDescent="0.3">
      <c r="A36" s="33" t="s">
        <v>46</v>
      </c>
      <c r="B36" s="43">
        <v>6619272245050</v>
      </c>
      <c r="C36" s="43">
        <f t="shared" ref="C36:G36" si="18">SUM(C37:C40)</f>
        <v>6815842325264.8574</v>
      </c>
      <c r="D36" s="43">
        <f t="shared" si="18"/>
        <v>6882002356707.8965</v>
      </c>
      <c r="E36" s="43">
        <f t="shared" si="18"/>
        <v>6702182557901.0049</v>
      </c>
      <c r="F36" s="43">
        <f t="shared" si="18"/>
        <v>6953513157731.915</v>
      </c>
      <c r="G36" s="43">
        <f t="shared" si="18"/>
        <v>7109931318370.7861</v>
      </c>
    </row>
    <row r="37" spans="1:13" ht="14.25" customHeight="1" x14ac:dyDescent="0.3">
      <c r="A37" s="23" t="s">
        <v>47</v>
      </c>
      <c r="B37" s="23">
        <v>2592727186371</v>
      </c>
      <c r="C37" s="23">
        <f>C4*CCC!$H$4/365</f>
        <v>2577210162715.0244</v>
      </c>
      <c r="D37" s="23">
        <f>D4*CCC!$H$4/365</f>
        <v>3100090162890.0186</v>
      </c>
      <c r="E37" s="23">
        <f>E4*CCC!$H$4/365</f>
        <v>3147745179157.6733</v>
      </c>
      <c r="F37" s="23">
        <f>F4*CCC!$H$4/365</f>
        <v>3345682109988.6279</v>
      </c>
      <c r="G37" s="23">
        <f>G4*CCC!$H$4/365</f>
        <v>3393865339195.1992</v>
      </c>
    </row>
    <row r="38" spans="1:13" ht="14.25" customHeight="1" x14ac:dyDescent="0.3">
      <c r="A38" s="22" t="s">
        <v>48</v>
      </c>
      <c r="B38" s="23">
        <v>2774442492172</v>
      </c>
      <c r="C38" s="23">
        <f t="shared" ref="C38:G38" si="19">B38*(1+3%)</f>
        <v>2857675766937.1602</v>
      </c>
      <c r="D38" s="23">
        <f t="shared" si="19"/>
        <v>2943406039945.2749</v>
      </c>
      <c r="E38" s="23">
        <f t="shared" si="19"/>
        <v>3031708221143.6333</v>
      </c>
      <c r="F38" s="23">
        <f t="shared" si="19"/>
        <v>3122659467777.9424</v>
      </c>
      <c r="G38" s="23">
        <f t="shared" si="19"/>
        <v>3216339251811.2808</v>
      </c>
    </row>
    <row r="39" spans="1:13" ht="14.25" customHeight="1" x14ac:dyDescent="0.3">
      <c r="A39" s="22" t="s">
        <v>49</v>
      </c>
      <c r="B39" s="23">
        <v>821033901691</v>
      </c>
      <c r="C39" s="23">
        <v>936955670852.19226</v>
      </c>
      <c r="D39" s="23">
        <f>965064340977.758+D58</f>
        <v>381185407369.30981</v>
      </c>
      <c r="E39" s="23">
        <f>820304689831.094+E58</f>
        <v>51688788701.304932</v>
      </c>
      <c r="F39" s="23">
        <f>697258986356.43+F58</f>
        <v>0</v>
      </c>
      <c r="G39" s="23">
        <f>592670138402.966+G58</f>
        <v>0</v>
      </c>
      <c r="I39" s="28"/>
      <c r="J39" s="28"/>
      <c r="K39" s="28"/>
      <c r="L39" s="28"/>
      <c r="M39" s="28"/>
    </row>
    <row r="40" spans="1:13" ht="14.25" customHeight="1" x14ac:dyDescent="0.3">
      <c r="A40" s="22" t="s">
        <v>50</v>
      </c>
      <c r="B40" s="23">
        <v>431068664816</v>
      </c>
      <c r="C40" s="23">
        <f t="shared" ref="C40:G40" si="20">B40*(1+3%)</f>
        <v>444000724760.48004</v>
      </c>
      <c r="D40" s="23">
        <f t="shared" si="20"/>
        <v>457320746503.29443</v>
      </c>
      <c r="E40" s="23">
        <f t="shared" si="20"/>
        <v>471040368898.39325</v>
      </c>
      <c r="F40" s="23">
        <f t="shared" si="20"/>
        <v>485171579965.34503</v>
      </c>
      <c r="G40" s="23">
        <f t="shared" si="20"/>
        <v>499726727364.30542</v>
      </c>
    </row>
    <row r="41" spans="1:13" ht="14.25" customHeight="1" x14ac:dyDescent="0.3">
      <c r="A41" s="33" t="s">
        <v>51</v>
      </c>
      <c r="B41" s="43">
        <v>4592303488578</v>
      </c>
      <c r="C41" s="43">
        <f t="shared" ref="C41:G41" si="21">SUM(C42:C44)</f>
        <v>3996063539377.8687</v>
      </c>
      <c r="D41" s="43">
        <f t="shared" si="21"/>
        <v>3743281976443.7354</v>
      </c>
      <c r="E41" s="43">
        <f t="shared" si="21"/>
        <v>1334959109208.9082</v>
      </c>
      <c r="F41" s="43">
        <f t="shared" si="21"/>
        <v>1130100440105.9993</v>
      </c>
      <c r="G41" s="43">
        <f t="shared" si="21"/>
        <v>1164003453309.1792</v>
      </c>
    </row>
    <row r="42" spans="1:13" ht="14.25" customHeight="1" x14ac:dyDescent="0.3">
      <c r="A42" s="22" t="s">
        <v>52</v>
      </c>
      <c r="B42" s="23">
        <v>3588223884700</v>
      </c>
      <c r="C42" s="23">
        <f>3742889839254.15+C57</f>
        <v>2961861547383.5288</v>
      </c>
      <c r="D42" s="23">
        <f>4429690725514.91+D57</f>
        <v>2678053924689.5654</v>
      </c>
      <c r="E42" s="23">
        <f>2543621919291.48+E57</f>
        <v>237774215902.11279</v>
      </c>
      <c r="F42" s="23">
        <f>2467313261712.74+F57</f>
        <v>0</v>
      </c>
      <c r="G42" s="23">
        <f>2393293863861.35+G57</f>
        <v>0</v>
      </c>
      <c r="H42" s="56"/>
    </row>
    <row r="43" spans="1:13" ht="14.25" customHeight="1" x14ac:dyDescent="0.3">
      <c r="A43" s="22" t="s">
        <v>53</v>
      </c>
      <c r="B43" s="23">
        <v>370015601719</v>
      </c>
      <c r="C43" s="23">
        <f t="shared" ref="C43:G43" si="22">B43*(1+3%)</f>
        <v>381116069770.57001</v>
      </c>
      <c r="D43" s="23">
        <f t="shared" si="22"/>
        <v>392549551863.68713</v>
      </c>
      <c r="E43" s="23">
        <f t="shared" si="22"/>
        <v>404326038419.59778</v>
      </c>
      <c r="F43" s="23">
        <f t="shared" si="22"/>
        <v>416455819572.18573</v>
      </c>
      <c r="G43" s="23">
        <f t="shared" si="22"/>
        <v>428949494159.35132</v>
      </c>
      <c r="H43" s="56"/>
    </row>
    <row r="44" spans="1:13" ht="14.25" customHeight="1" x14ac:dyDescent="0.3">
      <c r="A44" s="22" t="s">
        <v>54</v>
      </c>
      <c r="B44" s="23">
        <v>634064002159</v>
      </c>
      <c r="C44" s="23">
        <f t="shared" ref="C44:G44" si="23">B44*(1+3%)</f>
        <v>653085922223.77002</v>
      </c>
      <c r="D44" s="23">
        <f t="shared" si="23"/>
        <v>672678499890.48315</v>
      </c>
      <c r="E44" s="23">
        <f t="shared" si="23"/>
        <v>692858854887.19763</v>
      </c>
      <c r="F44" s="23">
        <f t="shared" si="23"/>
        <v>713644620533.8136</v>
      </c>
      <c r="G44" s="23">
        <f t="shared" si="23"/>
        <v>735053959149.828</v>
      </c>
      <c r="H44" s="56"/>
    </row>
    <row r="45" spans="1:13" ht="14.25" customHeight="1" x14ac:dyDescent="0.3">
      <c r="A45" s="36" t="s">
        <v>55</v>
      </c>
      <c r="B45" s="23"/>
      <c r="C45" s="23"/>
      <c r="D45" s="23"/>
      <c r="E45" s="23"/>
      <c r="F45" s="23"/>
      <c r="G45" s="23"/>
    </row>
    <row r="46" spans="1:13" ht="14.25" customHeight="1" x14ac:dyDescent="0.3">
      <c r="A46" s="33" t="s">
        <v>56</v>
      </c>
      <c r="B46" s="43">
        <v>17098286949122</v>
      </c>
      <c r="C46" s="43">
        <f t="shared" ref="C46:G46" si="24">SUM(C47:C53)</f>
        <v>19866480280651.75</v>
      </c>
      <c r="D46" s="43">
        <f t="shared" si="24"/>
        <v>23273435718969.98</v>
      </c>
      <c r="E46" s="43">
        <f t="shared" si="24"/>
        <v>25327066145447.074</v>
      </c>
      <c r="F46" s="43">
        <f t="shared" si="24"/>
        <v>27577436211569.668</v>
      </c>
      <c r="G46" s="43">
        <f t="shared" si="24"/>
        <v>30037676786008</v>
      </c>
    </row>
    <row r="47" spans="1:13" ht="14.25" customHeight="1" x14ac:dyDescent="0.3">
      <c r="A47" s="22" t="s">
        <v>57</v>
      </c>
      <c r="B47" s="23">
        <v>5562960060000</v>
      </c>
      <c r="C47" s="23">
        <v>5562960060000</v>
      </c>
      <c r="D47" s="23">
        <v>5562960060000</v>
      </c>
      <c r="E47" s="23">
        <v>5562960060000</v>
      </c>
      <c r="F47" s="23">
        <v>5562960060000</v>
      </c>
      <c r="G47" s="23">
        <v>5562960060000</v>
      </c>
    </row>
    <row r="48" spans="1:13" ht="14.25" customHeight="1" x14ac:dyDescent="0.3">
      <c r="A48" s="22" t="s">
        <v>58</v>
      </c>
      <c r="B48" s="23">
        <v>2434086374663</v>
      </c>
      <c r="C48" s="23">
        <v>2434086374663</v>
      </c>
      <c r="D48" s="23">
        <v>2434086374663</v>
      </c>
      <c r="E48" s="23">
        <v>2434086374663</v>
      </c>
      <c r="F48" s="23">
        <v>2434086374663</v>
      </c>
      <c r="G48" s="23">
        <v>2434086374663</v>
      </c>
      <c r="I48" s="28"/>
    </row>
    <row r="49" spans="1:7" ht="14.25" customHeight="1" x14ac:dyDescent="0.3">
      <c r="A49" s="22" t="s">
        <v>59</v>
      </c>
      <c r="B49" s="23">
        <v>-20948559850</v>
      </c>
      <c r="C49" s="23">
        <v>-20948559850</v>
      </c>
      <c r="D49" s="23">
        <v>-20948559850</v>
      </c>
      <c r="E49" s="23">
        <v>-20948559850</v>
      </c>
      <c r="F49" s="23">
        <v>-20948559850</v>
      </c>
      <c r="G49" s="23">
        <v>-20948559850</v>
      </c>
    </row>
    <row r="50" spans="1:7" ht="14.25" customHeight="1" x14ac:dyDescent="0.3">
      <c r="A50" s="22" t="s">
        <v>60</v>
      </c>
      <c r="B50" s="23">
        <v>3252855556290</v>
      </c>
      <c r="C50" s="23">
        <f>C2*'Historical Data'!$N$67</f>
        <v>4152156994643.8315</v>
      </c>
      <c r="D50" s="23">
        <f>D2*'Historical Data'!$N$67</f>
        <v>5001580806960.292</v>
      </c>
      <c r="E50" s="23">
        <f t="shared" ref="E50:G50" si="25">D50*(1+3%)</f>
        <v>5151628231169.1006</v>
      </c>
      <c r="F50" s="23">
        <f t="shared" si="25"/>
        <v>5306177078104.1738</v>
      </c>
      <c r="G50" s="23">
        <f t="shared" si="25"/>
        <v>5465362390447.2988</v>
      </c>
    </row>
    <row r="51" spans="1:7" ht="14.25" customHeight="1" x14ac:dyDescent="0.3">
      <c r="A51" s="22" t="s">
        <v>61</v>
      </c>
      <c r="B51" s="23">
        <v>4320705423029</v>
      </c>
      <c r="C51" s="23">
        <f>C2*'Historical Data'!$N$68</f>
        <v>4935699250691.0332</v>
      </c>
      <c r="D51" s="23">
        <f>D2*'Historical Data'!$N$68</f>
        <v>5945415520903.7646</v>
      </c>
      <c r="E51" s="23">
        <f t="shared" ref="E51:G51" si="26">D51*(1+3%)</f>
        <v>6123777986530.8779</v>
      </c>
      <c r="F51" s="23">
        <f t="shared" si="26"/>
        <v>6307491326126.8047</v>
      </c>
      <c r="G51" s="23">
        <f t="shared" si="26"/>
        <v>6496716065910.6094</v>
      </c>
    </row>
    <row r="52" spans="1:7" ht="14.25" customHeight="1" x14ac:dyDescent="0.3">
      <c r="A52" s="22" t="s">
        <v>62</v>
      </c>
      <c r="B52" s="23">
        <v>1291401833485</v>
      </c>
      <c r="C52" s="23">
        <f t="shared" ref="C52:G52" si="27">B52+C16</f>
        <v>2531973038419.123</v>
      </c>
      <c r="D52" s="23">
        <f t="shared" si="27"/>
        <v>4066061727811.0073</v>
      </c>
      <c r="E52" s="23">
        <f t="shared" si="27"/>
        <v>5777143798063.1113</v>
      </c>
      <c r="F52" s="23">
        <f t="shared" si="27"/>
        <v>7674689057273.9717</v>
      </c>
      <c r="G52" s="23">
        <f t="shared" si="27"/>
        <v>9771520080593.2129</v>
      </c>
    </row>
    <row r="53" spans="1:7" ht="14.25" customHeight="1" x14ac:dyDescent="0.3">
      <c r="A53" s="22" t="s">
        <v>63</v>
      </c>
      <c r="B53" s="23">
        <v>257226261505</v>
      </c>
      <c r="C53" s="23">
        <f t="shared" ref="C53:G53" si="28">B53+C15</f>
        <v>270553122084.76001</v>
      </c>
      <c r="D53" s="23">
        <f t="shared" si="28"/>
        <v>284279788481.91284</v>
      </c>
      <c r="E53" s="23">
        <f t="shared" si="28"/>
        <v>298418254870.98022</v>
      </c>
      <c r="F53" s="23">
        <f t="shared" si="28"/>
        <v>312980875251.7196</v>
      </c>
      <c r="G53" s="23">
        <f t="shared" si="28"/>
        <v>327980374243.88123</v>
      </c>
    </row>
    <row r="54" spans="1:7" ht="14.25" customHeight="1" x14ac:dyDescent="0.3">
      <c r="A54" s="8" t="s">
        <v>64</v>
      </c>
      <c r="B54" s="42">
        <v>28309862682750</v>
      </c>
      <c r="C54" s="42">
        <f t="shared" ref="C54:G54" si="29">SUM(C35,C46)</f>
        <v>30678386145294.477</v>
      </c>
      <c r="D54" s="42">
        <f t="shared" si="29"/>
        <v>33898720052121.613</v>
      </c>
      <c r="E54" s="42">
        <f t="shared" si="29"/>
        <v>33364207812556.988</v>
      </c>
      <c r="F54" s="42">
        <f t="shared" si="29"/>
        <v>35661049809407.578</v>
      </c>
      <c r="G54" s="42">
        <f t="shared" si="29"/>
        <v>38311611557687.969</v>
      </c>
    </row>
    <row r="55" spans="1:7" ht="14.25" customHeight="1" x14ac:dyDescent="0.3">
      <c r="A55" s="46" t="s">
        <v>103</v>
      </c>
      <c r="B55" s="47"/>
      <c r="C55" s="47">
        <f t="shared" ref="C55:G55" si="30">C34-C54</f>
        <v>0</v>
      </c>
      <c r="D55" s="47">
        <f t="shared" si="30"/>
        <v>0</v>
      </c>
      <c r="E55" s="47">
        <f t="shared" si="30"/>
        <v>0</v>
      </c>
      <c r="F55" s="47">
        <f t="shared" si="30"/>
        <v>0.359375</v>
      </c>
      <c r="G55" s="47">
        <f t="shared" si="30"/>
        <v>0.1953125</v>
      </c>
    </row>
    <row r="56" spans="1:7" ht="14.25" customHeight="1" x14ac:dyDescent="0.3">
      <c r="A56" s="48" t="s">
        <v>104</v>
      </c>
      <c r="B56" s="49"/>
      <c r="C56" s="28">
        <v>-781028291870.62109</v>
      </c>
      <c r="D56" s="28">
        <v>-2335515734433.793</v>
      </c>
      <c r="E56" s="28">
        <v>-3074463604519.1563</v>
      </c>
      <c r="F56" s="28">
        <v>-3502234207580.8125</v>
      </c>
      <c r="G56" s="28">
        <v>-4476214633093.1172</v>
      </c>
    </row>
    <row r="57" spans="1:7" ht="14.25" customHeight="1" x14ac:dyDescent="0.3">
      <c r="A57" s="48" t="s">
        <v>105</v>
      </c>
      <c r="B57" s="49"/>
      <c r="C57" s="28">
        <f>C56</f>
        <v>-781028291870.62109</v>
      </c>
      <c r="D57" s="28">
        <f t="shared" ref="D57:E57" si="31">3/4*D56</f>
        <v>-1751636800825.3447</v>
      </c>
      <c r="E57" s="28">
        <f t="shared" si="31"/>
        <v>-2305847703389.3672</v>
      </c>
      <c r="F57" s="28">
        <f>-2467313261712.74</f>
        <v>-2467313261712.7402</v>
      </c>
      <c r="G57" s="28">
        <f>-2393293863861.35</f>
        <v>-2393293863861.3501</v>
      </c>
    </row>
    <row r="58" spans="1:7" ht="14.25" customHeight="1" x14ac:dyDescent="0.3">
      <c r="A58" s="48" t="s">
        <v>106</v>
      </c>
      <c r="B58" s="49"/>
      <c r="D58" s="28">
        <f t="shared" ref="D58:E58" si="32">1/4*D56</f>
        <v>-583878933608.44824</v>
      </c>
      <c r="E58" s="28">
        <f t="shared" si="32"/>
        <v>-768615901129.78906</v>
      </c>
      <c r="F58" s="28">
        <f>-697258986356.43</f>
        <v>-697258986356.43005</v>
      </c>
      <c r="G58" s="28">
        <f>-592670138402.966</f>
        <v>-592670138402.96594</v>
      </c>
    </row>
    <row r="59" spans="1:7" ht="14.25" customHeight="1" x14ac:dyDescent="0.3">
      <c r="A59" s="22" t="s">
        <v>28</v>
      </c>
      <c r="B59" s="49"/>
      <c r="C59" s="28"/>
      <c r="D59" s="28"/>
      <c r="E59" s="28"/>
      <c r="F59" s="28"/>
      <c r="G59" s="28">
        <f>-1/5*1490250630829</f>
        <v>-298050126165.79999</v>
      </c>
    </row>
    <row r="60" spans="1:7" ht="14.25" customHeight="1" x14ac:dyDescent="0.3">
      <c r="A60" s="22" t="s">
        <v>29</v>
      </c>
      <c r="B60" s="49"/>
      <c r="C60" s="28"/>
      <c r="D60" s="28"/>
      <c r="E60" s="28"/>
      <c r="F60" s="28">
        <v>-337661959512</v>
      </c>
      <c r="G60" s="28">
        <f>-4/5*1490250630829</f>
        <v>-1192200504663.2</v>
      </c>
    </row>
    <row r="61" spans="1:7" ht="14.25" customHeight="1" x14ac:dyDescent="0.3">
      <c r="B61" s="49"/>
      <c r="C61" s="28"/>
      <c r="D61" s="28"/>
      <c r="E61" s="28"/>
      <c r="F61" s="28"/>
      <c r="G61" s="28"/>
    </row>
    <row r="62" spans="1:7" ht="14.25" customHeight="1" x14ac:dyDescent="0.3">
      <c r="B62" s="49"/>
      <c r="C62" s="28"/>
      <c r="D62" s="28"/>
      <c r="E62" s="28"/>
      <c r="F62" s="28"/>
      <c r="G62" s="28"/>
    </row>
    <row r="63" spans="1:7" ht="14.25" customHeight="1" x14ac:dyDescent="0.3">
      <c r="A63" s="6" t="s">
        <v>65</v>
      </c>
      <c r="B63" s="57">
        <v>2025</v>
      </c>
      <c r="C63" s="58" t="s">
        <v>107</v>
      </c>
      <c r="D63" s="58" t="s">
        <v>108</v>
      </c>
      <c r="E63" s="58" t="s">
        <v>109</v>
      </c>
      <c r="F63" s="58" t="s">
        <v>110</v>
      </c>
      <c r="G63" s="58" t="s">
        <v>111</v>
      </c>
    </row>
    <row r="64" spans="1:7" ht="14.25" customHeight="1" x14ac:dyDescent="0.3">
      <c r="A64" s="8" t="s">
        <v>2</v>
      </c>
      <c r="B64" s="45"/>
      <c r="C64" s="28"/>
      <c r="D64" s="28"/>
      <c r="E64" s="28"/>
      <c r="F64" s="28"/>
      <c r="G64" s="28"/>
    </row>
    <row r="65" spans="1:7" ht="14.25" customHeight="1" x14ac:dyDescent="0.3">
      <c r="A65" s="36" t="s">
        <v>66</v>
      </c>
      <c r="B65" s="45"/>
      <c r="C65" s="28"/>
      <c r="D65" s="28"/>
      <c r="E65" s="28"/>
      <c r="F65" s="28"/>
      <c r="G65" s="28"/>
    </row>
    <row r="66" spans="1:7" ht="14.25" customHeight="1" x14ac:dyDescent="0.3">
      <c r="A66" s="22" t="s">
        <v>67</v>
      </c>
      <c r="B66" s="45">
        <v>1386285215016</v>
      </c>
      <c r="C66" s="59">
        <f t="shared" ref="C66:G66" si="33">C11</f>
        <v>1648989108532.7566</v>
      </c>
      <c r="D66" s="59">
        <f t="shared" si="33"/>
        <v>1934769194736.2964</v>
      </c>
      <c r="E66" s="59">
        <f t="shared" si="33"/>
        <v>2156525670801.4639</v>
      </c>
      <c r="F66" s="59">
        <f t="shared" si="33"/>
        <v>2653682802157.6748</v>
      </c>
      <c r="G66" s="59">
        <f t="shared" si="33"/>
        <v>2931014683905.8154</v>
      </c>
    </row>
    <row r="67" spans="1:7" ht="14.25" customHeight="1" x14ac:dyDescent="0.3">
      <c r="A67" s="22" t="s">
        <v>68</v>
      </c>
      <c r="B67" s="45"/>
      <c r="C67" s="59"/>
      <c r="D67" s="59"/>
      <c r="E67" s="59"/>
      <c r="F67" s="59"/>
      <c r="G67" s="59"/>
    </row>
    <row r="68" spans="1:7" ht="14.25" customHeight="1" x14ac:dyDescent="0.3">
      <c r="A68" s="22" t="s">
        <v>15</v>
      </c>
      <c r="B68" s="45">
        <v>859603231390</v>
      </c>
      <c r="C68" s="59">
        <f t="shared" ref="C68:G68" si="34">J6</f>
        <v>853902143846.25049</v>
      </c>
      <c r="D68" s="59">
        <f t="shared" si="34"/>
        <v>906956387143.78259</v>
      </c>
      <c r="E68" s="59">
        <f t="shared" si="34"/>
        <v>944623645530.66724</v>
      </c>
      <c r="F68" s="59">
        <f t="shared" si="34"/>
        <v>985146920375.35645</v>
      </c>
      <c r="G68" s="59">
        <f t="shared" si="34"/>
        <v>1028688465571.5103</v>
      </c>
    </row>
    <row r="69" spans="1:7" ht="14.25" customHeight="1" x14ac:dyDescent="0.3">
      <c r="A69" s="22" t="s">
        <v>69</v>
      </c>
      <c r="B69" s="45">
        <v>104549307214</v>
      </c>
      <c r="C69" s="59">
        <f t="shared" ref="C69:G69" si="35">(C40-B40)+(C43-B43)</f>
        <v>24032527996.050049</v>
      </c>
      <c r="D69" s="59">
        <f t="shared" si="35"/>
        <v>24753503835.931519</v>
      </c>
      <c r="E69" s="59">
        <f t="shared" si="35"/>
        <v>25496108951.00946</v>
      </c>
      <c r="F69" s="59">
        <f t="shared" si="35"/>
        <v>26260992219.539734</v>
      </c>
      <c r="G69" s="59">
        <f t="shared" si="35"/>
        <v>27048821986.125977</v>
      </c>
    </row>
    <row r="70" spans="1:7" ht="14.25" customHeight="1" x14ac:dyDescent="0.3">
      <c r="A70" s="22" t="s">
        <v>70</v>
      </c>
      <c r="B70" s="45">
        <v>-48152557924</v>
      </c>
      <c r="C70" s="59">
        <f t="shared" ref="C70:G70" si="36">0</f>
        <v>0</v>
      </c>
      <c r="D70" s="59">
        <f t="shared" si="36"/>
        <v>0</v>
      </c>
      <c r="E70" s="59">
        <f t="shared" si="36"/>
        <v>0</v>
      </c>
      <c r="F70" s="59">
        <f t="shared" si="36"/>
        <v>0</v>
      </c>
      <c r="G70" s="59">
        <f t="shared" si="36"/>
        <v>0</v>
      </c>
    </row>
    <row r="71" spans="1:7" ht="14.25" customHeight="1" x14ac:dyDescent="0.3">
      <c r="A71" s="22" t="s">
        <v>71</v>
      </c>
      <c r="B71" s="45">
        <v>-212484791692</v>
      </c>
      <c r="C71" s="59">
        <f t="shared" ref="C71:G71" si="37">-C88</f>
        <v>-72803818526.008499</v>
      </c>
      <c r="D71" s="59">
        <f t="shared" si="37"/>
        <v>-76444009452.308929</v>
      </c>
      <c r="E71" s="59">
        <f t="shared" si="37"/>
        <v>-80266209924.924377</v>
      </c>
      <c r="F71" s="59">
        <f t="shared" si="37"/>
        <v>-84279520421.170609</v>
      </c>
      <c r="G71" s="59">
        <f t="shared" si="37"/>
        <v>-88493496442.229141</v>
      </c>
    </row>
    <row r="72" spans="1:7" ht="14.25" customHeight="1" x14ac:dyDescent="0.3">
      <c r="A72" s="22" t="s">
        <v>17</v>
      </c>
      <c r="B72" s="28">
        <v>190796075404</v>
      </c>
      <c r="C72" s="59">
        <f t="shared" ref="C72:G72" si="38">C10</f>
        <v>299003501148.29999</v>
      </c>
      <c r="D72" s="59">
        <f t="shared" si="38"/>
        <v>304189958156.91223</v>
      </c>
      <c r="E72" s="59">
        <f t="shared" si="38"/>
        <v>350659079322.02344</v>
      </c>
      <c r="F72" s="59">
        <f t="shared" si="38"/>
        <v>218655229592.96735</v>
      </c>
      <c r="G72" s="59">
        <f t="shared" si="38"/>
        <v>205697196124.49609</v>
      </c>
    </row>
    <row r="73" spans="1:7" ht="14.25" customHeight="1" x14ac:dyDescent="0.3">
      <c r="A73" s="22" t="s">
        <v>72</v>
      </c>
      <c r="B73" s="45">
        <v>62323734751</v>
      </c>
      <c r="C73" s="59">
        <f t="shared" ref="C73:G73" si="39">C2*0.0033</f>
        <v>40719518818.201019</v>
      </c>
      <c r="D73" s="59">
        <f t="shared" si="39"/>
        <v>49049678047.456055</v>
      </c>
      <c r="E73" s="59">
        <f t="shared" si="39"/>
        <v>53788020565.183167</v>
      </c>
      <c r="F73" s="59">
        <f t="shared" si="39"/>
        <v>58130080804.131248</v>
      </c>
      <c r="G73" s="59">
        <f t="shared" si="39"/>
        <v>59853020915.03923</v>
      </c>
    </row>
    <row r="74" spans="1:7" ht="14.25" customHeight="1" x14ac:dyDescent="0.3">
      <c r="A74" s="22" t="s">
        <v>73</v>
      </c>
      <c r="B74" s="45">
        <v>2342920214159</v>
      </c>
      <c r="C74" s="59">
        <f t="shared" ref="C74:G74" si="40">SUM(C66:C73)</f>
        <v>2793842981815.5493</v>
      </c>
      <c r="D74" s="59">
        <f t="shared" si="40"/>
        <v>3143274712468.0698</v>
      </c>
      <c r="E74" s="59">
        <f t="shared" si="40"/>
        <v>3450826315245.4224</v>
      </c>
      <c r="F74" s="59">
        <f t="shared" si="40"/>
        <v>3857596504728.499</v>
      </c>
      <c r="G74" s="59">
        <f t="shared" si="40"/>
        <v>4163808692060.7578</v>
      </c>
    </row>
    <row r="75" spans="1:7" ht="14.25" customHeight="1" x14ac:dyDescent="0.3">
      <c r="A75" s="22" t="s">
        <v>74</v>
      </c>
      <c r="B75" s="45">
        <v>-1611880575912</v>
      </c>
      <c r="C75" s="59">
        <f t="shared" ref="C75:G75" si="41">-(C25-B25)</f>
        <v>-88789866386.350586</v>
      </c>
      <c r="D75" s="59">
        <f t="shared" si="41"/>
        <v>-1106538378315.3223</v>
      </c>
      <c r="E75" s="59">
        <f t="shared" si="41"/>
        <v>-629418682304.97266</v>
      </c>
      <c r="F75" s="59">
        <f t="shared" si="41"/>
        <v>-576778446020.5</v>
      </c>
      <c r="G75" s="59">
        <f t="shared" si="41"/>
        <v>-228867096509.1543</v>
      </c>
    </row>
    <row r="76" spans="1:7" ht="14.25" customHeight="1" x14ac:dyDescent="0.3">
      <c r="A76" s="22" t="s">
        <v>75</v>
      </c>
      <c r="B76" s="45">
        <v>-277182084310</v>
      </c>
      <c r="C76" s="59">
        <f t="shared" ref="C76:G76" si="42">-(C26-B26)</f>
        <v>-525247245060.01978</v>
      </c>
      <c r="D76" s="59">
        <f t="shared" si="42"/>
        <v>-418304000139.99438</v>
      </c>
      <c r="E76" s="59">
        <f t="shared" si="42"/>
        <v>-38124013014.124512</v>
      </c>
      <c r="F76" s="59">
        <f t="shared" si="42"/>
        <v>-158349544664.76367</v>
      </c>
      <c r="G76" s="59">
        <f t="shared" si="42"/>
        <v>-38546583365.256836</v>
      </c>
    </row>
    <row r="77" spans="1:7" ht="14.25" customHeight="1" x14ac:dyDescent="0.3">
      <c r="A77" s="22" t="s">
        <v>76</v>
      </c>
      <c r="B77" s="45">
        <v>1549230049540</v>
      </c>
      <c r="C77" s="59">
        <f t="shared" ref="C77:G77" si="43">C37-B37</f>
        <v>-15517023655.975586</v>
      </c>
      <c r="D77" s="59">
        <f t="shared" si="43"/>
        <v>522880000174.99414</v>
      </c>
      <c r="E77" s="59">
        <f t="shared" si="43"/>
        <v>47655016267.654785</v>
      </c>
      <c r="F77" s="59">
        <f t="shared" si="43"/>
        <v>197936930830.95459</v>
      </c>
      <c r="G77" s="59">
        <f t="shared" si="43"/>
        <v>48183229206.571289</v>
      </c>
    </row>
    <row r="78" spans="1:7" ht="14.25" customHeight="1" x14ac:dyDescent="0.3">
      <c r="A78" s="22" t="s">
        <v>77</v>
      </c>
      <c r="B78" s="45">
        <v>-70327403460</v>
      </c>
      <c r="C78" s="59">
        <f t="shared" ref="C78:G78" si="44">-(C27-B27)</f>
        <v>-14505757608.950012</v>
      </c>
      <c r="D78" s="59">
        <f t="shared" si="44"/>
        <v>-15231045489.397522</v>
      </c>
      <c r="E78" s="59">
        <f t="shared" si="44"/>
        <v>-15992597763.867371</v>
      </c>
      <c r="F78" s="59">
        <f t="shared" si="44"/>
        <v>-16792227652.06073</v>
      </c>
      <c r="G78" s="59">
        <f t="shared" si="44"/>
        <v>-17631839034.663818</v>
      </c>
    </row>
    <row r="79" spans="1:7" ht="14.25" customHeight="1" x14ac:dyDescent="0.3">
      <c r="A79" s="22" t="s">
        <v>78</v>
      </c>
      <c r="B79" s="45">
        <v>-81492577996</v>
      </c>
      <c r="C79" s="59">
        <f t="shared" ref="C79:G79" si="45">-C10</f>
        <v>-299003501148.29999</v>
      </c>
      <c r="D79" s="59">
        <f t="shared" si="45"/>
        <v>-304189958156.91223</v>
      </c>
      <c r="E79" s="59">
        <f t="shared" si="45"/>
        <v>-350659079322.02344</v>
      </c>
      <c r="F79" s="59">
        <f t="shared" si="45"/>
        <v>-218655229592.96735</v>
      </c>
      <c r="G79" s="59">
        <f t="shared" si="45"/>
        <v>-205697196124.49609</v>
      </c>
    </row>
    <row r="80" spans="1:7" ht="14.25" customHeight="1" x14ac:dyDescent="0.3">
      <c r="A80" s="22" t="s">
        <v>79</v>
      </c>
      <c r="B80" s="45">
        <v>-279008605508</v>
      </c>
      <c r="C80" s="59">
        <f t="shared" ref="C80:G80" si="46">-C12</f>
        <v>-329797821706.55133</v>
      </c>
      <c r="D80" s="59">
        <f t="shared" si="46"/>
        <v>-386953838947.25928</v>
      </c>
      <c r="E80" s="59">
        <f t="shared" si="46"/>
        <v>-431305134160.29279</v>
      </c>
      <c r="F80" s="59">
        <f t="shared" si="46"/>
        <v>-530736560431.53497</v>
      </c>
      <c r="G80" s="59">
        <f t="shared" si="46"/>
        <v>-586202936781.16309</v>
      </c>
    </row>
    <row r="81" spans="1:8" ht="14.25" customHeight="1" x14ac:dyDescent="0.3">
      <c r="A81" s="22" t="s">
        <v>80</v>
      </c>
      <c r="B81" s="45">
        <v>-140219014972</v>
      </c>
      <c r="C81" s="59">
        <f t="shared" ref="C81:G81" si="47">-C2*0.013</f>
        <v>-160410225647.45856</v>
      </c>
      <c r="D81" s="59">
        <f t="shared" si="47"/>
        <v>-193226004429.37231</v>
      </c>
      <c r="E81" s="59">
        <f t="shared" si="47"/>
        <v>-211892202226.47913</v>
      </c>
      <c r="F81" s="59">
        <f t="shared" si="47"/>
        <v>-228997288016.27463</v>
      </c>
      <c r="G81" s="59">
        <f t="shared" si="47"/>
        <v>-235784627847.12421</v>
      </c>
    </row>
    <row r="82" spans="1:8" ht="14.25" customHeight="1" x14ac:dyDescent="0.3">
      <c r="A82" s="22" t="s">
        <v>81</v>
      </c>
      <c r="B82" s="45">
        <v>1432040001541</v>
      </c>
      <c r="C82" s="59">
        <f t="shared" ref="C82:G82" si="48">SUM(C74:C81)</f>
        <v>1360571540601.9436</v>
      </c>
      <c r="D82" s="59">
        <f t="shared" si="48"/>
        <v>1241711487164.8059</v>
      </c>
      <c r="E82" s="59">
        <f t="shared" si="48"/>
        <v>1821089622721.3174</v>
      </c>
      <c r="F82" s="59">
        <f t="shared" si="48"/>
        <v>2325224139181.3525</v>
      </c>
      <c r="G82" s="59">
        <f t="shared" si="48"/>
        <v>2899261641605.4707</v>
      </c>
      <c r="H82" s="59"/>
    </row>
    <row r="83" spans="1:8" ht="14.25" customHeight="1" x14ac:dyDescent="0.3">
      <c r="A83" s="36" t="s">
        <v>82</v>
      </c>
      <c r="B83" s="45"/>
      <c r="C83" s="59"/>
      <c r="D83" s="59"/>
      <c r="E83" s="59"/>
      <c r="F83" s="59"/>
      <c r="G83" s="59"/>
      <c r="H83" s="59"/>
    </row>
    <row r="84" spans="1:8" ht="14.25" customHeight="1" x14ac:dyDescent="0.3">
      <c r="A84" s="22" t="s">
        <v>83</v>
      </c>
      <c r="B84" s="45">
        <v>-3049031710020</v>
      </c>
      <c r="C84" s="59">
        <f>-'Fixed Asset'!H10</f>
        <v>-2236180000000</v>
      </c>
      <c r="D84" s="59">
        <f>-'Fixed Asset'!I10</f>
        <v>-2236180000000</v>
      </c>
      <c r="E84" s="59">
        <f>-'Fixed Asset'!J10</f>
        <v>-1682652506381.6016</v>
      </c>
      <c r="F84" s="59">
        <f>-'Fixed Asset'!K10</f>
        <v>-1766785131700.6797</v>
      </c>
      <c r="G84" s="59">
        <f>-'Fixed Asset'!L10</f>
        <v>-1855124388285.7188</v>
      </c>
      <c r="H84" s="59"/>
    </row>
    <row r="85" spans="1:8" ht="14.25" customHeight="1" x14ac:dyDescent="0.3">
      <c r="A85" s="22" t="s">
        <v>84</v>
      </c>
      <c r="B85" s="45">
        <v>748502744</v>
      </c>
      <c r="C85" s="59">
        <f t="shared" ref="C85:G85" si="49">B85</f>
        <v>748502744</v>
      </c>
      <c r="D85" s="59">
        <f t="shared" si="49"/>
        <v>748502744</v>
      </c>
      <c r="E85" s="59">
        <f t="shared" si="49"/>
        <v>748502744</v>
      </c>
      <c r="F85" s="59">
        <f t="shared" si="49"/>
        <v>748502744</v>
      </c>
      <c r="G85" s="59">
        <f t="shared" si="49"/>
        <v>748502744</v>
      </c>
      <c r="H85" s="59"/>
    </row>
    <row r="86" spans="1:8" ht="14.25" customHeight="1" x14ac:dyDescent="0.3">
      <c r="A86" s="22" t="s">
        <v>85</v>
      </c>
      <c r="B86" s="45">
        <v>-1389054473645</v>
      </c>
      <c r="C86" s="59">
        <f t="shared" ref="C86:G86" si="50">-(C24-B24)</f>
        <v>0</v>
      </c>
      <c r="D86" s="59">
        <f t="shared" si="50"/>
        <v>0</v>
      </c>
      <c r="E86" s="59">
        <f t="shared" si="50"/>
        <v>0</v>
      </c>
      <c r="F86" s="59">
        <f t="shared" si="50"/>
        <v>-441005372585.8501</v>
      </c>
      <c r="G86" s="59">
        <f t="shared" si="50"/>
        <v>-973383470186.12695</v>
      </c>
      <c r="H86" s="59"/>
    </row>
    <row r="87" spans="1:8" ht="14.25" customHeight="1" x14ac:dyDescent="0.3">
      <c r="A87" s="22" t="s">
        <v>86</v>
      </c>
      <c r="B87" s="45">
        <v>1506356325546</v>
      </c>
      <c r="C87" s="59">
        <f t="shared" ref="C87:G87" si="51">IF(C24&lt;B24,B24-C24,0)</f>
        <v>0</v>
      </c>
      <c r="D87" s="59">
        <f t="shared" si="51"/>
        <v>0</v>
      </c>
      <c r="E87" s="59">
        <f t="shared" si="51"/>
        <v>0</v>
      </c>
      <c r="F87" s="59">
        <f t="shared" si="51"/>
        <v>0</v>
      </c>
      <c r="G87" s="59">
        <f t="shared" si="51"/>
        <v>0</v>
      </c>
      <c r="H87" s="59"/>
    </row>
    <row r="88" spans="1:8" ht="14.25" customHeight="1" x14ac:dyDescent="0.3">
      <c r="A88" s="22" t="s">
        <v>87</v>
      </c>
      <c r="B88" s="45">
        <v>62363861902</v>
      </c>
      <c r="C88" s="59">
        <f t="shared" ref="C88:G88" si="52">C32*0.09</f>
        <v>72803818526.008499</v>
      </c>
      <c r="D88" s="59">
        <f t="shared" si="52"/>
        <v>76444009452.308929</v>
      </c>
      <c r="E88" s="59">
        <f t="shared" si="52"/>
        <v>80266209924.924377</v>
      </c>
      <c r="F88" s="59">
        <f t="shared" si="52"/>
        <v>84279520421.170609</v>
      </c>
      <c r="G88" s="59">
        <f t="shared" si="52"/>
        <v>88493496442.229141</v>
      </c>
      <c r="H88" s="59"/>
    </row>
    <row r="89" spans="1:8" ht="14.25" customHeight="1" x14ac:dyDescent="0.3">
      <c r="A89" s="22" t="s">
        <v>88</v>
      </c>
      <c r="B89" s="45">
        <v>-2868617493473</v>
      </c>
      <c r="C89" s="59">
        <f t="shared" ref="C89:G89" si="53">SUM(C84:C88)</f>
        <v>-2162627678729.9915</v>
      </c>
      <c r="D89" s="59">
        <f t="shared" si="53"/>
        <v>-2158987487803.6912</v>
      </c>
      <c r="E89" s="59">
        <f t="shared" si="53"/>
        <v>-1601637793712.6772</v>
      </c>
      <c r="F89" s="59">
        <f t="shared" si="53"/>
        <v>-2122762481121.3591</v>
      </c>
      <c r="G89" s="59">
        <f t="shared" si="53"/>
        <v>-2739265859285.6167</v>
      </c>
      <c r="H89" s="59"/>
    </row>
    <row r="90" spans="1:8" ht="14.25" customHeight="1" x14ac:dyDescent="0.3">
      <c r="A90" s="36" t="s">
        <v>89</v>
      </c>
      <c r="B90" s="45"/>
      <c r="C90" s="59"/>
      <c r="D90" s="59"/>
      <c r="E90" s="59"/>
      <c r="F90" s="59"/>
      <c r="G90" s="59"/>
      <c r="H90" s="59"/>
    </row>
    <row r="91" spans="1:8" ht="14.25" customHeight="1" x14ac:dyDescent="0.3">
      <c r="A91" s="22" t="s">
        <v>90</v>
      </c>
      <c r="B91" s="45">
        <v>9725837524</v>
      </c>
      <c r="C91" s="59">
        <f t="shared" ref="C91:G91" si="54">0</f>
        <v>0</v>
      </c>
      <c r="D91" s="59">
        <f t="shared" si="54"/>
        <v>0</v>
      </c>
      <c r="E91" s="59">
        <f t="shared" si="54"/>
        <v>0</v>
      </c>
      <c r="F91" s="59">
        <f t="shared" si="54"/>
        <v>0</v>
      </c>
      <c r="G91" s="59">
        <f t="shared" si="54"/>
        <v>0</v>
      </c>
      <c r="H91" s="59"/>
    </row>
    <row r="92" spans="1:8" ht="14.25" customHeight="1" x14ac:dyDescent="0.3">
      <c r="A92" s="22" t="s">
        <v>92</v>
      </c>
      <c r="B92" s="45">
        <v>1816914079062</v>
      </c>
      <c r="C92" s="59">
        <f t="shared" ref="C92:G92" si="55">0</f>
        <v>0</v>
      </c>
      <c r="D92" s="59">
        <f t="shared" si="55"/>
        <v>0</v>
      </c>
      <c r="E92" s="59">
        <f t="shared" si="55"/>
        <v>0</v>
      </c>
      <c r="F92" s="59">
        <f t="shared" si="55"/>
        <v>0</v>
      </c>
      <c r="G92" s="59">
        <f t="shared" si="55"/>
        <v>0</v>
      </c>
      <c r="H92" s="59"/>
    </row>
    <row r="93" spans="1:8" ht="14.25" customHeight="1" x14ac:dyDescent="0.3">
      <c r="A93" s="22" t="s">
        <v>93</v>
      </c>
      <c r="B93" s="45">
        <v>-565367644260</v>
      </c>
      <c r="C93" s="59">
        <f>Debt!G6-Debt!F6</f>
        <v>-510440568155.27881</v>
      </c>
      <c r="D93" s="59">
        <f>Debt!H6-Debt!G6</f>
        <v>-839577886176.84619</v>
      </c>
      <c r="E93" s="59">
        <f>Debt!I6-Debt!H6</f>
        <v>-2769776327455.457</v>
      </c>
      <c r="F93" s="59">
        <f>Debt!J6-Debt!I6</f>
        <v>-289463004603.41772</v>
      </c>
      <c r="G93" s="59">
        <f>Debt!K6-Debt!J6</f>
        <v>0</v>
      </c>
      <c r="H93" s="59"/>
    </row>
    <row r="94" spans="1:8" ht="14.25" customHeight="1" x14ac:dyDescent="0.3">
      <c r="A94" s="22" t="s">
        <v>94</v>
      </c>
      <c r="B94" s="45">
        <v>-281430430500</v>
      </c>
      <c r="C94" s="59">
        <f t="shared" ref="C94:G94" si="56">-(1-C17)*C14</f>
        <v>-65293221312.322327</v>
      </c>
      <c r="D94" s="59">
        <f t="shared" si="56"/>
        <v>0</v>
      </c>
      <c r="E94" s="59">
        <f t="shared" si="56"/>
        <v>0</v>
      </c>
      <c r="F94" s="59">
        <f t="shared" si="56"/>
        <v>-210838362134.53998</v>
      </c>
      <c r="G94" s="59">
        <f t="shared" si="56"/>
        <v>-232981224813.24902</v>
      </c>
      <c r="H94" s="59"/>
    </row>
    <row r="95" spans="1:8" ht="14.25" customHeight="1" x14ac:dyDescent="0.3">
      <c r="A95" s="22" t="s">
        <v>95</v>
      </c>
      <c r="B95" s="45">
        <v>979841841826</v>
      </c>
      <c r="C95" s="59">
        <f t="shared" ref="C95:G95" si="57">SUM(C91:C94)</f>
        <v>-575733789467.60107</v>
      </c>
      <c r="D95" s="59">
        <f t="shared" si="57"/>
        <v>-839577886176.84619</v>
      </c>
      <c r="E95" s="59">
        <f t="shared" si="57"/>
        <v>-2769776327455.457</v>
      </c>
      <c r="F95" s="59">
        <f t="shared" si="57"/>
        <v>-500301366737.9577</v>
      </c>
      <c r="G95" s="59">
        <f t="shared" si="57"/>
        <v>-232981224813.24902</v>
      </c>
      <c r="H95" s="59"/>
    </row>
    <row r="96" spans="1:8" ht="14.25" customHeight="1" x14ac:dyDescent="0.3">
      <c r="A96" s="22" t="s">
        <v>96</v>
      </c>
      <c r="B96" s="45">
        <v>-456735650106</v>
      </c>
      <c r="C96" s="59">
        <f t="shared" ref="C96:G96" si="58">C82+C89+C95</f>
        <v>-1377789927595.6489</v>
      </c>
      <c r="D96" s="59">
        <f t="shared" si="58"/>
        <v>-1756853886815.7314</v>
      </c>
      <c r="E96" s="59">
        <f t="shared" si="58"/>
        <v>-2550324498446.8169</v>
      </c>
      <c r="F96" s="59">
        <f t="shared" si="58"/>
        <v>-297839708677.96429</v>
      </c>
      <c r="G96" s="59">
        <f t="shared" si="58"/>
        <v>-72985442493.39502</v>
      </c>
      <c r="H96" s="59"/>
    </row>
    <row r="97" spans="1:8" ht="14.25" customHeight="1" x14ac:dyDescent="0.3">
      <c r="A97" s="22" t="s">
        <v>97</v>
      </c>
      <c r="B97" s="45">
        <v>2203268278194</v>
      </c>
      <c r="C97" s="59">
        <f t="shared" ref="C97:G97" si="59">B23</f>
        <v>1821273980243</v>
      </c>
      <c r="D97" s="59">
        <f t="shared" si="59"/>
        <v>1850887219009.1372</v>
      </c>
      <c r="E97" s="59">
        <f t="shared" si="59"/>
        <v>2229530820338.9116</v>
      </c>
      <c r="F97" s="59">
        <f t="shared" si="59"/>
        <v>2444910025690.144</v>
      </c>
      <c r="G97" s="59">
        <f t="shared" si="59"/>
        <v>2642276400187.7842</v>
      </c>
      <c r="H97" s="59"/>
    </row>
    <row r="98" spans="1:8" ht="14.25" customHeight="1" x14ac:dyDescent="0.3">
      <c r="A98" s="22" t="s">
        <v>98</v>
      </c>
      <c r="B98" s="45">
        <v>1370207120</v>
      </c>
      <c r="C98" s="59">
        <v>0</v>
      </c>
      <c r="D98" s="59">
        <v>0</v>
      </c>
      <c r="E98" s="59">
        <v>0</v>
      </c>
      <c r="F98" s="59">
        <v>0</v>
      </c>
      <c r="G98" s="59">
        <v>0</v>
      </c>
      <c r="H98" s="59"/>
    </row>
    <row r="99" spans="1:8" ht="14.25" customHeight="1" x14ac:dyDescent="0.3">
      <c r="A99" s="22" t="s">
        <v>99</v>
      </c>
      <c r="B99" s="45">
        <v>73371145035</v>
      </c>
      <c r="C99" s="59">
        <f t="shared" ref="C99:G99" si="60">C2*0.006</f>
        <v>74035488760.365494</v>
      </c>
      <c r="D99" s="59">
        <f t="shared" si="60"/>
        <v>89181232813.556458</v>
      </c>
      <c r="E99" s="59">
        <f t="shared" si="60"/>
        <v>97796401027.605759</v>
      </c>
      <c r="F99" s="59">
        <f t="shared" si="60"/>
        <v>105691056007.51137</v>
      </c>
      <c r="G99" s="59">
        <f t="shared" si="60"/>
        <v>108823674390.98042</v>
      </c>
      <c r="H99" s="59"/>
    </row>
    <row r="100" spans="1:8" ht="14.25" customHeight="1" x14ac:dyDescent="0.3">
      <c r="A100" s="22" t="s">
        <v>112</v>
      </c>
      <c r="B100" s="45">
        <f t="shared" ref="B100:G100" si="61">B23-(B96+B97+B98+B99)</f>
        <v>0</v>
      </c>
      <c r="C100" s="45">
        <f t="shared" si="61"/>
        <v>1333367677601.4207</v>
      </c>
      <c r="D100" s="45">
        <f t="shared" si="61"/>
        <v>2046316255331.9495</v>
      </c>
      <c r="E100" s="45">
        <f t="shared" si="61"/>
        <v>2667907302770.4434</v>
      </c>
      <c r="F100" s="45">
        <f t="shared" si="61"/>
        <v>389515027168.09326</v>
      </c>
      <c r="G100" s="45">
        <f t="shared" si="61"/>
        <v>340527353854.94043</v>
      </c>
      <c r="H100" s="59"/>
    </row>
    <row r="101" spans="1:8" ht="14.25" customHeight="1" x14ac:dyDescent="0.3">
      <c r="A101" s="22" t="s">
        <v>100</v>
      </c>
      <c r="B101" s="45">
        <v>1821273980243</v>
      </c>
      <c r="C101" s="59">
        <f t="shared" ref="C101:G101" si="62">C23</f>
        <v>1850887219009.1372</v>
      </c>
      <c r="D101" s="59">
        <f t="shared" si="62"/>
        <v>2229530820338.9116</v>
      </c>
      <c r="E101" s="59">
        <f t="shared" si="62"/>
        <v>2444910025690.144</v>
      </c>
      <c r="F101" s="59">
        <f t="shared" si="62"/>
        <v>2642276400187.7842</v>
      </c>
      <c r="G101" s="59">
        <f t="shared" si="62"/>
        <v>3018641985940.3101</v>
      </c>
      <c r="H101" s="59"/>
    </row>
    <row r="102" spans="1:8" ht="14.25" customHeight="1" x14ac:dyDescent="0.3">
      <c r="B102" s="49"/>
    </row>
    <row r="103" spans="1:8" ht="14.25" customHeight="1" x14ac:dyDescent="0.3">
      <c r="B103" s="49"/>
    </row>
    <row r="104" spans="1:8" ht="14.25" customHeight="1" x14ac:dyDescent="0.3">
      <c r="B104" s="49"/>
    </row>
    <row r="105" spans="1:8" ht="14.25" customHeight="1" x14ac:dyDescent="0.3">
      <c r="B105" s="49"/>
    </row>
    <row r="106" spans="1:8" ht="14.25" customHeight="1" x14ac:dyDescent="0.3">
      <c r="B106" s="49"/>
    </row>
    <row r="107" spans="1:8" ht="14.25" customHeight="1" x14ac:dyDescent="0.3">
      <c r="B107" s="49"/>
    </row>
    <row r="108" spans="1:8" ht="14.25" customHeight="1" x14ac:dyDescent="0.3">
      <c r="B108" s="49"/>
    </row>
    <row r="109" spans="1:8" ht="14.25" customHeight="1" x14ac:dyDescent="0.3">
      <c r="B109" s="49"/>
    </row>
    <row r="110" spans="1:8" ht="14.25" customHeight="1" x14ac:dyDescent="0.3">
      <c r="B110" s="49"/>
    </row>
    <row r="111" spans="1:8" ht="14.25" customHeight="1" x14ac:dyDescent="0.3">
      <c r="B111" s="49"/>
    </row>
    <row r="112" spans="1:8" ht="14.25" customHeight="1" x14ac:dyDescent="0.3">
      <c r="B112" s="49"/>
    </row>
    <row r="113" spans="2:2" ht="14.25" customHeight="1" x14ac:dyDescent="0.3">
      <c r="B113" s="49"/>
    </row>
    <row r="114" spans="2:2" ht="14.25" customHeight="1" x14ac:dyDescent="0.3">
      <c r="B114" s="49"/>
    </row>
    <row r="115" spans="2:2" ht="14.25" customHeight="1" x14ac:dyDescent="0.3">
      <c r="B115" s="49"/>
    </row>
    <row r="116" spans="2:2" ht="14.25" customHeight="1" x14ac:dyDescent="0.3">
      <c r="B116" s="49"/>
    </row>
    <row r="117" spans="2:2" ht="14.25" customHeight="1" x14ac:dyDescent="0.3">
      <c r="B117" s="49"/>
    </row>
    <row r="118" spans="2:2" ht="14.25" customHeight="1" x14ac:dyDescent="0.3">
      <c r="B118" s="49"/>
    </row>
    <row r="119" spans="2:2" ht="14.25" customHeight="1" x14ac:dyDescent="0.3">
      <c r="B119" s="49"/>
    </row>
    <row r="120" spans="2:2" ht="14.25" customHeight="1" x14ac:dyDescent="0.3">
      <c r="B120" s="49"/>
    </row>
    <row r="121" spans="2:2" ht="14.25" customHeight="1" x14ac:dyDescent="0.3">
      <c r="B121" s="49"/>
    </row>
    <row r="122" spans="2:2" ht="14.25" customHeight="1" x14ac:dyDescent="0.3">
      <c r="B122" s="49"/>
    </row>
    <row r="123" spans="2:2" ht="14.25" customHeight="1" x14ac:dyDescent="0.3">
      <c r="B123" s="49"/>
    </row>
    <row r="124" spans="2:2" ht="14.25" customHeight="1" x14ac:dyDescent="0.3">
      <c r="B124" s="49"/>
    </row>
    <row r="125" spans="2:2" ht="14.25" customHeight="1" x14ac:dyDescent="0.3">
      <c r="B125" s="49"/>
    </row>
    <row r="126" spans="2:2" ht="14.25" customHeight="1" x14ac:dyDescent="0.3">
      <c r="B126" s="49"/>
    </row>
    <row r="127" spans="2:2" ht="14.25" customHeight="1" x14ac:dyDescent="0.3">
      <c r="B127" s="49"/>
    </row>
    <row r="128" spans="2:2" ht="14.25" customHeight="1" x14ac:dyDescent="0.3">
      <c r="B128" s="49"/>
    </row>
    <row r="129" spans="2:2" ht="14.25" customHeight="1" x14ac:dyDescent="0.3">
      <c r="B129" s="49"/>
    </row>
    <row r="130" spans="2:2" ht="14.25" customHeight="1" x14ac:dyDescent="0.3">
      <c r="B130" s="49"/>
    </row>
    <row r="131" spans="2:2" ht="14.25" customHeight="1" x14ac:dyDescent="0.3">
      <c r="B131" s="49"/>
    </row>
    <row r="132" spans="2:2" ht="14.25" customHeight="1" x14ac:dyDescent="0.3">
      <c r="B132" s="49"/>
    </row>
    <row r="133" spans="2:2" ht="14.25" customHeight="1" x14ac:dyDescent="0.3">
      <c r="B133" s="49"/>
    </row>
    <row r="134" spans="2:2" ht="14.25" customHeight="1" x14ac:dyDescent="0.3">
      <c r="B134" s="49"/>
    </row>
    <row r="135" spans="2:2" ht="14.25" customHeight="1" x14ac:dyDescent="0.3">
      <c r="B135" s="49"/>
    </row>
    <row r="136" spans="2:2" ht="14.25" customHeight="1" x14ac:dyDescent="0.3">
      <c r="B136" s="49"/>
    </row>
    <row r="137" spans="2:2" ht="14.25" customHeight="1" x14ac:dyDescent="0.3">
      <c r="B137" s="49"/>
    </row>
    <row r="138" spans="2:2" ht="14.25" customHeight="1" x14ac:dyDescent="0.3">
      <c r="B138" s="49"/>
    </row>
    <row r="139" spans="2:2" ht="14.25" customHeight="1" x14ac:dyDescent="0.3">
      <c r="B139" s="49"/>
    </row>
    <row r="140" spans="2:2" ht="14.25" customHeight="1" x14ac:dyDescent="0.3">
      <c r="B140" s="49"/>
    </row>
    <row r="141" spans="2:2" ht="14.25" customHeight="1" x14ac:dyDescent="0.3">
      <c r="B141" s="49"/>
    </row>
    <row r="142" spans="2:2" ht="14.25" customHeight="1" x14ac:dyDescent="0.3">
      <c r="B142" s="49"/>
    </row>
    <row r="143" spans="2:2" ht="14.25" customHeight="1" x14ac:dyDescent="0.3">
      <c r="B143" s="49"/>
    </row>
    <row r="144" spans="2:2" ht="14.25" customHeight="1" x14ac:dyDescent="0.3">
      <c r="B144" s="49"/>
    </row>
    <row r="145" spans="2:2" ht="14.25" customHeight="1" x14ac:dyDescent="0.3">
      <c r="B145" s="49"/>
    </row>
    <row r="146" spans="2:2" ht="14.25" customHeight="1" x14ac:dyDescent="0.3">
      <c r="B146" s="49"/>
    </row>
    <row r="147" spans="2:2" ht="14.25" customHeight="1" x14ac:dyDescent="0.3">
      <c r="B147" s="49"/>
    </row>
    <row r="148" spans="2:2" ht="14.25" customHeight="1" x14ac:dyDescent="0.3">
      <c r="B148" s="49"/>
    </row>
    <row r="149" spans="2:2" ht="14.25" customHeight="1" x14ac:dyDescent="0.3">
      <c r="B149" s="49"/>
    </row>
    <row r="150" spans="2:2" ht="14.25" customHeight="1" x14ac:dyDescent="0.3">
      <c r="B150" s="49"/>
    </row>
    <row r="151" spans="2:2" ht="14.25" customHeight="1" x14ac:dyDescent="0.3">
      <c r="B151" s="49"/>
    </row>
    <row r="152" spans="2:2" ht="14.25" customHeight="1" x14ac:dyDescent="0.3">
      <c r="B152" s="49"/>
    </row>
    <row r="153" spans="2:2" ht="14.25" customHeight="1" x14ac:dyDescent="0.3">
      <c r="B153" s="49"/>
    </row>
    <row r="154" spans="2:2" ht="14.25" customHeight="1" x14ac:dyDescent="0.3">
      <c r="B154" s="49"/>
    </row>
    <row r="155" spans="2:2" ht="14.25" customHeight="1" x14ac:dyDescent="0.3">
      <c r="B155" s="49"/>
    </row>
    <row r="156" spans="2:2" ht="14.25" customHeight="1" x14ac:dyDescent="0.3">
      <c r="B156" s="49"/>
    </row>
    <row r="157" spans="2:2" ht="14.25" customHeight="1" x14ac:dyDescent="0.3">
      <c r="B157" s="49"/>
    </row>
    <row r="158" spans="2:2" ht="14.25" customHeight="1" x14ac:dyDescent="0.3">
      <c r="B158" s="49"/>
    </row>
    <row r="159" spans="2:2" ht="14.25" customHeight="1" x14ac:dyDescent="0.3">
      <c r="B159" s="49"/>
    </row>
    <row r="160" spans="2:2" ht="14.25" customHeight="1" x14ac:dyDescent="0.3">
      <c r="B160" s="49"/>
    </row>
    <row r="161" spans="2:2" ht="14.25" customHeight="1" x14ac:dyDescent="0.3">
      <c r="B161" s="49"/>
    </row>
    <row r="162" spans="2:2" ht="14.25" customHeight="1" x14ac:dyDescent="0.3">
      <c r="B162" s="49"/>
    </row>
    <row r="163" spans="2:2" ht="14.25" customHeight="1" x14ac:dyDescent="0.3">
      <c r="B163" s="49"/>
    </row>
    <row r="164" spans="2:2" ht="14.25" customHeight="1" x14ac:dyDescent="0.3">
      <c r="B164" s="49"/>
    </row>
    <row r="165" spans="2:2" ht="14.25" customHeight="1" x14ac:dyDescent="0.3">
      <c r="B165" s="49"/>
    </row>
    <row r="166" spans="2:2" ht="14.25" customHeight="1" x14ac:dyDescent="0.3">
      <c r="B166" s="49"/>
    </row>
    <row r="167" spans="2:2" ht="14.25" customHeight="1" x14ac:dyDescent="0.3">
      <c r="B167" s="49"/>
    </row>
    <row r="168" spans="2:2" ht="14.25" customHeight="1" x14ac:dyDescent="0.3">
      <c r="B168" s="49"/>
    </row>
    <row r="169" spans="2:2" ht="14.25" customHeight="1" x14ac:dyDescent="0.3">
      <c r="B169" s="49"/>
    </row>
    <row r="170" spans="2:2" ht="14.25" customHeight="1" x14ac:dyDescent="0.3">
      <c r="B170" s="49"/>
    </row>
    <row r="171" spans="2:2" ht="14.25" customHeight="1" x14ac:dyDescent="0.3">
      <c r="B171" s="49"/>
    </row>
    <row r="172" spans="2:2" ht="14.25" customHeight="1" x14ac:dyDescent="0.3">
      <c r="B172" s="49"/>
    </row>
    <row r="173" spans="2:2" ht="14.25" customHeight="1" x14ac:dyDescent="0.3">
      <c r="B173" s="49"/>
    </row>
    <row r="174" spans="2:2" ht="14.25" customHeight="1" x14ac:dyDescent="0.3">
      <c r="B174" s="49"/>
    </row>
    <row r="175" spans="2:2" ht="14.25" customHeight="1" x14ac:dyDescent="0.3">
      <c r="B175" s="49"/>
    </row>
    <row r="176" spans="2:2" ht="14.25" customHeight="1" x14ac:dyDescent="0.3">
      <c r="B176" s="49"/>
    </row>
    <row r="177" spans="2:2" ht="14.25" customHeight="1" x14ac:dyDescent="0.3">
      <c r="B177" s="49"/>
    </row>
    <row r="178" spans="2:2" ht="14.25" customHeight="1" x14ac:dyDescent="0.3">
      <c r="B178" s="49"/>
    </row>
    <row r="179" spans="2:2" ht="14.25" customHeight="1" x14ac:dyDescent="0.3">
      <c r="B179" s="49"/>
    </row>
    <row r="180" spans="2:2" ht="14.25" customHeight="1" x14ac:dyDescent="0.3">
      <c r="B180" s="49"/>
    </row>
    <row r="181" spans="2:2" ht="14.25" customHeight="1" x14ac:dyDescent="0.3">
      <c r="B181" s="49"/>
    </row>
    <row r="182" spans="2:2" ht="14.25" customHeight="1" x14ac:dyDescent="0.3">
      <c r="B182" s="49"/>
    </row>
    <row r="183" spans="2:2" ht="14.25" customHeight="1" x14ac:dyDescent="0.3">
      <c r="B183" s="49"/>
    </row>
    <row r="184" spans="2:2" ht="14.25" customHeight="1" x14ac:dyDescent="0.3">
      <c r="B184" s="49"/>
    </row>
    <row r="185" spans="2:2" ht="14.25" customHeight="1" x14ac:dyDescent="0.3">
      <c r="B185" s="49"/>
    </row>
    <row r="186" spans="2:2" ht="14.25" customHeight="1" x14ac:dyDescent="0.3">
      <c r="B186" s="49"/>
    </row>
    <row r="187" spans="2:2" ht="14.25" customHeight="1" x14ac:dyDescent="0.3">
      <c r="B187" s="49"/>
    </row>
    <row r="188" spans="2:2" ht="14.25" customHeight="1" x14ac:dyDescent="0.3">
      <c r="B188" s="49"/>
    </row>
    <row r="189" spans="2:2" ht="14.25" customHeight="1" x14ac:dyDescent="0.3">
      <c r="B189" s="49"/>
    </row>
    <row r="190" spans="2:2" ht="14.25" customHeight="1" x14ac:dyDescent="0.3">
      <c r="B190" s="49"/>
    </row>
    <row r="191" spans="2:2" ht="14.25" customHeight="1" x14ac:dyDescent="0.3">
      <c r="B191" s="49"/>
    </row>
    <row r="192" spans="2:2" ht="14.25" customHeight="1" x14ac:dyDescent="0.3">
      <c r="B192" s="49"/>
    </row>
    <row r="193" spans="2:2" ht="14.25" customHeight="1" x14ac:dyDescent="0.3">
      <c r="B193" s="49"/>
    </row>
    <row r="194" spans="2:2" ht="14.25" customHeight="1" x14ac:dyDescent="0.3">
      <c r="B194" s="49"/>
    </row>
    <row r="195" spans="2:2" ht="14.25" customHeight="1" x14ac:dyDescent="0.3">
      <c r="B195" s="49"/>
    </row>
    <row r="196" spans="2:2" ht="14.25" customHeight="1" x14ac:dyDescent="0.3">
      <c r="B196" s="49"/>
    </row>
    <row r="197" spans="2:2" ht="14.25" customHeight="1" x14ac:dyDescent="0.3">
      <c r="B197" s="49"/>
    </row>
    <row r="198" spans="2:2" ht="14.25" customHeight="1" x14ac:dyDescent="0.3">
      <c r="B198" s="49"/>
    </row>
    <row r="199" spans="2:2" ht="14.25" customHeight="1" x14ac:dyDescent="0.3">
      <c r="B199" s="49"/>
    </row>
    <row r="200" spans="2:2" ht="14.25" customHeight="1" x14ac:dyDescent="0.3">
      <c r="B200" s="49"/>
    </row>
    <row r="201" spans="2:2" ht="14.25" customHeight="1" x14ac:dyDescent="0.3">
      <c r="B201" s="49"/>
    </row>
    <row r="202" spans="2:2" ht="14.25" customHeight="1" x14ac:dyDescent="0.3">
      <c r="B202" s="49"/>
    </row>
    <row r="203" spans="2:2" ht="14.25" customHeight="1" x14ac:dyDescent="0.3">
      <c r="B203" s="49"/>
    </row>
    <row r="204" spans="2:2" ht="14.25" customHeight="1" x14ac:dyDescent="0.3">
      <c r="B204" s="49"/>
    </row>
    <row r="205" spans="2:2" ht="14.25" customHeight="1" x14ac:dyDescent="0.3">
      <c r="B205" s="49"/>
    </row>
    <row r="206" spans="2:2" ht="14.25" customHeight="1" x14ac:dyDescent="0.3">
      <c r="B206" s="49"/>
    </row>
    <row r="207" spans="2:2" ht="14.25" customHeight="1" x14ac:dyDescent="0.3">
      <c r="B207" s="49"/>
    </row>
    <row r="208" spans="2:2" ht="14.25" customHeight="1" x14ac:dyDescent="0.3">
      <c r="B208" s="49"/>
    </row>
    <row r="209" spans="2:2" ht="14.25" customHeight="1" x14ac:dyDescent="0.3">
      <c r="B209" s="49"/>
    </row>
    <row r="210" spans="2:2" ht="14.25" customHeight="1" x14ac:dyDescent="0.3">
      <c r="B210" s="49"/>
    </row>
    <row r="211" spans="2:2" ht="14.25" customHeight="1" x14ac:dyDescent="0.3">
      <c r="B211" s="49"/>
    </row>
    <row r="212" spans="2:2" ht="14.25" customHeight="1" x14ac:dyDescent="0.3">
      <c r="B212" s="49"/>
    </row>
    <row r="213" spans="2:2" ht="14.25" customHeight="1" x14ac:dyDescent="0.3">
      <c r="B213" s="49"/>
    </row>
    <row r="214" spans="2:2" ht="14.25" customHeight="1" x14ac:dyDescent="0.3">
      <c r="B214" s="49"/>
    </row>
    <row r="215" spans="2:2" ht="14.25" customHeight="1" x14ac:dyDescent="0.3">
      <c r="B215" s="49"/>
    </row>
    <row r="216" spans="2:2" ht="14.25" customHeight="1" x14ac:dyDescent="0.3">
      <c r="B216" s="49"/>
    </row>
    <row r="217" spans="2:2" ht="14.25" customHeight="1" x14ac:dyDescent="0.3">
      <c r="B217" s="49"/>
    </row>
    <row r="218" spans="2:2" ht="14.25" customHeight="1" x14ac:dyDescent="0.3">
      <c r="B218" s="49"/>
    </row>
    <row r="219" spans="2:2" ht="14.25" customHeight="1" x14ac:dyDescent="0.3">
      <c r="B219" s="49"/>
    </row>
    <row r="220" spans="2:2" ht="14.25" customHeight="1" x14ac:dyDescent="0.3">
      <c r="B220" s="49"/>
    </row>
    <row r="221" spans="2:2" ht="14.25" customHeight="1" x14ac:dyDescent="0.3">
      <c r="B221" s="49"/>
    </row>
    <row r="222" spans="2:2" ht="14.25" customHeight="1" x14ac:dyDescent="0.3">
      <c r="B222" s="49"/>
    </row>
    <row r="223" spans="2:2" ht="14.25" customHeight="1" x14ac:dyDescent="0.3">
      <c r="B223" s="49"/>
    </row>
    <row r="224" spans="2:2" ht="14.25" customHeight="1" x14ac:dyDescent="0.3">
      <c r="B224" s="49"/>
    </row>
    <row r="225" spans="2:2" ht="14.25" customHeight="1" x14ac:dyDescent="0.3">
      <c r="B225" s="49"/>
    </row>
    <row r="226" spans="2:2" ht="14.25" customHeight="1" x14ac:dyDescent="0.3">
      <c r="B226" s="49"/>
    </row>
    <row r="227" spans="2:2" ht="14.25" customHeight="1" x14ac:dyDescent="0.3">
      <c r="B227" s="49"/>
    </row>
    <row r="228" spans="2:2" ht="14.25" customHeight="1" x14ac:dyDescent="0.3">
      <c r="B228" s="49"/>
    </row>
    <row r="229" spans="2:2" ht="14.25" customHeight="1" x14ac:dyDescent="0.3">
      <c r="B229" s="49"/>
    </row>
    <row r="230" spans="2:2" ht="14.25" customHeight="1" x14ac:dyDescent="0.3">
      <c r="B230" s="49"/>
    </row>
    <row r="231" spans="2:2" ht="14.25" customHeight="1" x14ac:dyDescent="0.3">
      <c r="B231" s="49"/>
    </row>
    <row r="232" spans="2:2" ht="14.25" customHeight="1" x14ac:dyDescent="0.3">
      <c r="B232" s="49"/>
    </row>
    <row r="233" spans="2:2" ht="14.25" customHeight="1" x14ac:dyDescent="0.3">
      <c r="B233" s="49"/>
    </row>
    <row r="234" spans="2:2" ht="14.25" customHeight="1" x14ac:dyDescent="0.3">
      <c r="B234" s="49"/>
    </row>
    <row r="235" spans="2:2" ht="14.25" customHeight="1" x14ac:dyDescent="0.3">
      <c r="B235" s="49"/>
    </row>
    <row r="236" spans="2:2" ht="14.25" customHeight="1" x14ac:dyDescent="0.3">
      <c r="B236" s="49"/>
    </row>
    <row r="237" spans="2:2" ht="14.25" customHeight="1" x14ac:dyDescent="0.3">
      <c r="B237" s="49"/>
    </row>
    <row r="238" spans="2:2" ht="14.25" customHeight="1" x14ac:dyDescent="0.3">
      <c r="B238" s="49"/>
    </row>
    <row r="239" spans="2:2" ht="14.25" customHeight="1" x14ac:dyDescent="0.3">
      <c r="B239" s="49"/>
    </row>
    <row r="240" spans="2:2" ht="14.25" customHeight="1" x14ac:dyDescent="0.3">
      <c r="B240" s="49"/>
    </row>
    <row r="241" spans="2:2" ht="14.25" customHeight="1" x14ac:dyDescent="0.3">
      <c r="B241" s="49"/>
    </row>
    <row r="242" spans="2:2" ht="14.25" customHeight="1" x14ac:dyDescent="0.3">
      <c r="B242" s="49"/>
    </row>
    <row r="243" spans="2:2" ht="14.25" customHeight="1" x14ac:dyDescent="0.3">
      <c r="B243" s="49"/>
    </row>
    <row r="244" spans="2:2" ht="14.25" customHeight="1" x14ac:dyDescent="0.3">
      <c r="B244" s="49"/>
    </row>
    <row r="245" spans="2:2" ht="14.25" customHeight="1" x14ac:dyDescent="0.3">
      <c r="B245" s="49"/>
    </row>
    <row r="246" spans="2:2" ht="14.25" customHeight="1" x14ac:dyDescent="0.3">
      <c r="B246" s="49"/>
    </row>
    <row r="247" spans="2:2" ht="14.25" customHeight="1" x14ac:dyDescent="0.3">
      <c r="B247" s="49"/>
    </row>
    <row r="248" spans="2:2" ht="14.25" customHeight="1" x14ac:dyDescent="0.3">
      <c r="B248" s="49"/>
    </row>
    <row r="249" spans="2:2" ht="14.25" customHeight="1" x14ac:dyDescent="0.3">
      <c r="B249" s="49"/>
    </row>
    <row r="250" spans="2:2" ht="14.25" customHeight="1" x14ac:dyDescent="0.3">
      <c r="B250" s="49"/>
    </row>
    <row r="251" spans="2:2" ht="14.25" customHeight="1" x14ac:dyDescent="0.3">
      <c r="B251" s="49"/>
    </row>
    <row r="252" spans="2:2" ht="14.25" customHeight="1" x14ac:dyDescent="0.3">
      <c r="B252" s="49"/>
    </row>
    <row r="253" spans="2:2" ht="14.25" customHeight="1" x14ac:dyDescent="0.3">
      <c r="B253" s="49"/>
    </row>
    <row r="254" spans="2:2" ht="14.25" customHeight="1" x14ac:dyDescent="0.3">
      <c r="B254" s="49"/>
    </row>
    <row r="255" spans="2:2" ht="14.25" customHeight="1" x14ac:dyDescent="0.3">
      <c r="B255" s="49"/>
    </row>
    <row r="256" spans="2:2" ht="14.25" customHeight="1" x14ac:dyDescent="0.3">
      <c r="B256" s="49"/>
    </row>
    <row r="257" spans="2:2" ht="14.25" customHeight="1" x14ac:dyDescent="0.3">
      <c r="B257" s="49"/>
    </row>
    <row r="258" spans="2:2" ht="14.25" customHeight="1" x14ac:dyDescent="0.3">
      <c r="B258" s="49"/>
    </row>
    <row r="259" spans="2:2" ht="14.25" customHeight="1" x14ac:dyDescent="0.3">
      <c r="B259" s="49"/>
    </row>
    <row r="260" spans="2:2" ht="14.25" customHeight="1" x14ac:dyDescent="0.3">
      <c r="B260" s="49"/>
    </row>
    <row r="261" spans="2:2" ht="14.25" customHeight="1" x14ac:dyDescent="0.3">
      <c r="B261" s="49"/>
    </row>
    <row r="262" spans="2:2" ht="14.25" customHeight="1" x14ac:dyDescent="0.3">
      <c r="B262" s="49"/>
    </row>
    <row r="263" spans="2:2" ht="14.25" customHeight="1" x14ac:dyDescent="0.3">
      <c r="B263" s="49"/>
    </row>
    <row r="264" spans="2:2" ht="14.25" customHeight="1" x14ac:dyDescent="0.3">
      <c r="B264" s="49"/>
    </row>
    <row r="265" spans="2:2" ht="14.25" customHeight="1" x14ac:dyDescent="0.3">
      <c r="B265" s="49"/>
    </row>
    <row r="266" spans="2:2" ht="14.25" customHeight="1" x14ac:dyDescent="0.3">
      <c r="B266" s="49"/>
    </row>
    <row r="267" spans="2:2" ht="14.25" customHeight="1" x14ac:dyDescent="0.3">
      <c r="B267" s="49"/>
    </row>
    <row r="268" spans="2:2" ht="14.25" customHeight="1" x14ac:dyDescent="0.3">
      <c r="B268" s="49"/>
    </row>
    <row r="269" spans="2:2" ht="14.25" customHeight="1" x14ac:dyDescent="0.3">
      <c r="B269" s="49"/>
    </row>
    <row r="270" spans="2:2" ht="14.25" customHeight="1" x14ac:dyDescent="0.3">
      <c r="B270" s="49"/>
    </row>
    <row r="271" spans="2:2" ht="14.25" customHeight="1" x14ac:dyDescent="0.3">
      <c r="B271" s="49"/>
    </row>
    <row r="272" spans="2:2" ht="14.25" customHeight="1" x14ac:dyDescent="0.3">
      <c r="B272" s="49"/>
    </row>
    <row r="273" spans="2:2" ht="14.25" customHeight="1" x14ac:dyDescent="0.3">
      <c r="B273" s="49"/>
    </row>
    <row r="274" spans="2:2" ht="14.25" customHeight="1" x14ac:dyDescent="0.3">
      <c r="B274" s="49"/>
    </row>
    <row r="275" spans="2:2" ht="14.25" customHeight="1" x14ac:dyDescent="0.3">
      <c r="B275" s="49"/>
    </row>
    <row r="276" spans="2:2" ht="14.25" customHeight="1" x14ac:dyDescent="0.3">
      <c r="B276" s="49"/>
    </row>
    <row r="277" spans="2:2" ht="14.25" customHeight="1" x14ac:dyDescent="0.3">
      <c r="B277" s="49"/>
    </row>
    <row r="278" spans="2:2" ht="14.25" customHeight="1" x14ac:dyDescent="0.3">
      <c r="B278" s="49"/>
    </row>
    <row r="279" spans="2:2" ht="14.25" customHeight="1" x14ac:dyDescent="0.3">
      <c r="B279" s="49"/>
    </row>
    <row r="280" spans="2:2" ht="14.25" customHeight="1" x14ac:dyDescent="0.3">
      <c r="B280" s="49"/>
    </row>
    <row r="281" spans="2:2" ht="14.25" customHeight="1" x14ac:dyDescent="0.3">
      <c r="B281" s="49"/>
    </row>
    <row r="282" spans="2:2" ht="14.25" customHeight="1" x14ac:dyDescent="0.3">
      <c r="B282" s="49"/>
    </row>
    <row r="283" spans="2:2" ht="14.25" customHeight="1" x14ac:dyDescent="0.3">
      <c r="B283" s="49"/>
    </row>
    <row r="284" spans="2:2" ht="14.25" customHeight="1" x14ac:dyDescent="0.3">
      <c r="B284" s="49"/>
    </row>
    <row r="285" spans="2:2" ht="14.25" customHeight="1" x14ac:dyDescent="0.3">
      <c r="B285" s="49"/>
    </row>
    <row r="286" spans="2:2" ht="14.25" customHeight="1" x14ac:dyDescent="0.3">
      <c r="B286" s="49"/>
    </row>
    <row r="287" spans="2:2" ht="14.25" customHeight="1" x14ac:dyDescent="0.3">
      <c r="B287" s="49"/>
    </row>
    <row r="288" spans="2:2" ht="14.25" customHeight="1" x14ac:dyDescent="0.3">
      <c r="B288" s="49"/>
    </row>
    <row r="289" spans="2:2" ht="14.25" customHeight="1" x14ac:dyDescent="0.3">
      <c r="B289" s="49"/>
    </row>
    <row r="290" spans="2:2" ht="14.25" customHeight="1" x14ac:dyDescent="0.3">
      <c r="B290" s="49"/>
    </row>
    <row r="291" spans="2:2" ht="14.25" customHeight="1" x14ac:dyDescent="0.3">
      <c r="B291" s="49"/>
    </row>
    <row r="292" spans="2:2" ht="14.25" customHeight="1" x14ac:dyDescent="0.3">
      <c r="B292" s="49"/>
    </row>
    <row r="293" spans="2:2" ht="14.25" customHeight="1" x14ac:dyDescent="0.3">
      <c r="B293" s="49"/>
    </row>
    <row r="294" spans="2:2" ht="14.25" customHeight="1" x14ac:dyDescent="0.3">
      <c r="B294" s="49"/>
    </row>
    <row r="295" spans="2:2" ht="14.25" customHeight="1" x14ac:dyDescent="0.3">
      <c r="B295" s="49"/>
    </row>
    <row r="296" spans="2:2" ht="14.25" customHeight="1" x14ac:dyDescent="0.3">
      <c r="B296" s="49"/>
    </row>
    <row r="297" spans="2:2" ht="14.25" customHeight="1" x14ac:dyDescent="0.3">
      <c r="B297" s="49"/>
    </row>
    <row r="298" spans="2:2" ht="14.25" customHeight="1" x14ac:dyDescent="0.3">
      <c r="B298" s="49"/>
    </row>
    <row r="299" spans="2:2" ht="14.25" customHeight="1" x14ac:dyDescent="0.3">
      <c r="B299" s="49"/>
    </row>
    <row r="300" spans="2:2" ht="14.25" customHeight="1" x14ac:dyDescent="0.3">
      <c r="B300" s="49"/>
    </row>
    <row r="301" spans="2:2" ht="14.25" customHeight="1" x14ac:dyDescent="0.3">
      <c r="B301" s="49"/>
    </row>
    <row r="302" spans="2:2" ht="14.25" customHeight="1" x14ac:dyDescent="0.3">
      <c r="B302" s="49"/>
    </row>
    <row r="303" spans="2:2" ht="14.25" customHeight="1" x14ac:dyDescent="0.3">
      <c r="B303" s="49"/>
    </row>
    <row r="304" spans="2:2" ht="14.25" customHeight="1" x14ac:dyDescent="0.3">
      <c r="B304" s="49"/>
    </row>
    <row r="305" spans="2:2" ht="14.25" customHeight="1" x14ac:dyDescent="0.3">
      <c r="B305" s="49"/>
    </row>
    <row r="306" spans="2:2" ht="14.25" customHeight="1" x14ac:dyDescent="0.3">
      <c r="B306" s="49"/>
    </row>
    <row r="307" spans="2:2" ht="14.25" customHeight="1" x14ac:dyDescent="0.3">
      <c r="B307" s="49"/>
    </row>
    <row r="308" spans="2:2" ht="14.25" customHeight="1" x14ac:dyDescent="0.3">
      <c r="B308" s="49"/>
    </row>
    <row r="309" spans="2:2" ht="14.25" customHeight="1" x14ac:dyDescent="0.3">
      <c r="B309" s="49"/>
    </row>
    <row r="310" spans="2:2" ht="14.25" customHeight="1" x14ac:dyDescent="0.3">
      <c r="B310" s="49"/>
    </row>
    <row r="311" spans="2:2" ht="14.25" customHeight="1" x14ac:dyDescent="0.3">
      <c r="B311" s="49"/>
    </row>
    <row r="312" spans="2:2" ht="14.25" customHeight="1" x14ac:dyDescent="0.3">
      <c r="B312" s="49"/>
    </row>
    <row r="313" spans="2:2" ht="14.25" customHeight="1" x14ac:dyDescent="0.3">
      <c r="B313" s="49"/>
    </row>
    <row r="314" spans="2:2" ht="14.25" customHeight="1" x14ac:dyDescent="0.3">
      <c r="B314" s="49"/>
    </row>
    <row r="315" spans="2:2" ht="14.25" customHeight="1" x14ac:dyDescent="0.3">
      <c r="B315" s="49"/>
    </row>
    <row r="316" spans="2:2" ht="14.25" customHeight="1" x14ac:dyDescent="0.3">
      <c r="B316" s="49"/>
    </row>
    <row r="317" spans="2:2" ht="14.25" customHeight="1" x14ac:dyDescent="0.3">
      <c r="B317" s="49"/>
    </row>
    <row r="318" spans="2:2" ht="14.25" customHeight="1" x14ac:dyDescent="0.3">
      <c r="B318" s="49"/>
    </row>
    <row r="319" spans="2:2" ht="14.25" customHeight="1" x14ac:dyDescent="0.3">
      <c r="B319" s="49"/>
    </row>
    <row r="320" spans="2:2" ht="14.25" customHeight="1" x14ac:dyDescent="0.3">
      <c r="B320" s="49"/>
    </row>
    <row r="321" spans="2:2" ht="14.25" customHeight="1" x14ac:dyDescent="0.3">
      <c r="B321" s="49"/>
    </row>
    <row r="322" spans="2:2" ht="14.25" customHeight="1" x14ac:dyDescent="0.3">
      <c r="B322" s="49"/>
    </row>
    <row r="323" spans="2:2" ht="14.25" customHeight="1" x14ac:dyDescent="0.3">
      <c r="B323" s="49"/>
    </row>
    <row r="324" spans="2:2" ht="14.25" customHeight="1" x14ac:dyDescent="0.3">
      <c r="B324" s="49"/>
    </row>
    <row r="325" spans="2:2" ht="14.25" customHeight="1" x14ac:dyDescent="0.3">
      <c r="B325" s="49"/>
    </row>
    <row r="326" spans="2:2" ht="14.25" customHeight="1" x14ac:dyDescent="0.3">
      <c r="B326" s="49"/>
    </row>
    <row r="327" spans="2:2" ht="14.25" customHeight="1" x14ac:dyDescent="0.3">
      <c r="B327" s="49"/>
    </row>
    <row r="328" spans="2:2" ht="14.25" customHeight="1" x14ac:dyDescent="0.3">
      <c r="B328" s="49"/>
    </row>
    <row r="329" spans="2:2" ht="14.25" customHeight="1" x14ac:dyDescent="0.3">
      <c r="B329" s="49"/>
    </row>
    <row r="330" spans="2:2" ht="14.25" customHeight="1" x14ac:dyDescent="0.3">
      <c r="B330" s="49"/>
    </row>
    <row r="331" spans="2:2" ht="14.25" customHeight="1" x14ac:dyDescent="0.3">
      <c r="B331" s="49"/>
    </row>
    <row r="332" spans="2:2" ht="14.25" customHeight="1" x14ac:dyDescent="0.3">
      <c r="B332" s="49"/>
    </row>
    <row r="333" spans="2:2" ht="14.25" customHeight="1" x14ac:dyDescent="0.3">
      <c r="B333" s="49"/>
    </row>
    <row r="334" spans="2:2" ht="14.25" customHeight="1" x14ac:dyDescent="0.3">
      <c r="B334" s="49"/>
    </row>
    <row r="335" spans="2:2" ht="14.25" customHeight="1" x14ac:dyDescent="0.3">
      <c r="B335" s="49"/>
    </row>
    <row r="336" spans="2:2" ht="14.25" customHeight="1" x14ac:dyDescent="0.3">
      <c r="B336" s="49"/>
    </row>
    <row r="337" spans="2:2" ht="14.25" customHeight="1" x14ac:dyDescent="0.3">
      <c r="B337" s="49"/>
    </row>
    <row r="338" spans="2:2" ht="14.25" customHeight="1" x14ac:dyDescent="0.3">
      <c r="B338" s="49"/>
    </row>
    <row r="339" spans="2:2" ht="14.25" customHeight="1" x14ac:dyDescent="0.3">
      <c r="B339" s="49"/>
    </row>
    <row r="340" spans="2:2" ht="14.25" customHeight="1" x14ac:dyDescent="0.3">
      <c r="B340" s="49"/>
    </row>
    <row r="341" spans="2:2" ht="14.25" customHeight="1" x14ac:dyDescent="0.3">
      <c r="B341" s="49"/>
    </row>
    <row r="342" spans="2:2" ht="14.25" customHeight="1" x14ac:dyDescent="0.3">
      <c r="B342" s="49"/>
    </row>
    <row r="343" spans="2:2" ht="14.25" customHeight="1" x14ac:dyDescent="0.3">
      <c r="B343" s="49"/>
    </row>
    <row r="344" spans="2:2" ht="14.25" customHeight="1" x14ac:dyDescent="0.3">
      <c r="B344" s="49"/>
    </row>
    <row r="345" spans="2:2" ht="14.25" customHeight="1" x14ac:dyDescent="0.3">
      <c r="B345" s="49"/>
    </row>
    <row r="346" spans="2:2" ht="14.25" customHeight="1" x14ac:dyDescent="0.3">
      <c r="B346" s="49"/>
    </row>
    <row r="347" spans="2:2" ht="14.25" customHeight="1" x14ac:dyDescent="0.3">
      <c r="B347" s="49"/>
    </row>
    <row r="348" spans="2:2" ht="14.25" customHeight="1" x14ac:dyDescent="0.3">
      <c r="B348" s="49"/>
    </row>
    <row r="349" spans="2:2" ht="14.25" customHeight="1" x14ac:dyDescent="0.3">
      <c r="B349" s="49"/>
    </row>
    <row r="350" spans="2:2" ht="14.25" customHeight="1" x14ac:dyDescent="0.3">
      <c r="B350" s="49"/>
    </row>
    <row r="351" spans="2:2" ht="14.25" customHeight="1" x14ac:dyDescent="0.3">
      <c r="B351" s="49"/>
    </row>
    <row r="352" spans="2:2" ht="14.25" customHeight="1" x14ac:dyDescent="0.3">
      <c r="B352" s="49"/>
    </row>
    <row r="353" spans="2:2" ht="14.25" customHeight="1" x14ac:dyDescent="0.3">
      <c r="B353" s="49"/>
    </row>
    <row r="354" spans="2:2" ht="14.25" customHeight="1" x14ac:dyDescent="0.3">
      <c r="B354" s="49"/>
    </row>
    <row r="355" spans="2:2" ht="14.25" customHeight="1" x14ac:dyDescent="0.3">
      <c r="B355" s="49"/>
    </row>
    <row r="356" spans="2:2" ht="14.25" customHeight="1" x14ac:dyDescent="0.3">
      <c r="B356" s="49"/>
    </row>
    <row r="357" spans="2:2" ht="14.25" customHeight="1" x14ac:dyDescent="0.3">
      <c r="B357" s="49"/>
    </row>
    <row r="358" spans="2:2" ht="14.25" customHeight="1" x14ac:dyDescent="0.3">
      <c r="B358" s="49"/>
    </row>
    <row r="359" spans="2:2" ht="14.25" customHeight="1" x14ac:dyDescent="0.3">
      <c r="B359" s="49"/>
    </row>
    <row r="360" spans="2:2" ht="14.25" customHeight="1" x14ac:dyDescent="0.3">
      <c r="B360" s="49"/>
    </row>
    <row r="361" spans="2:2" ht="14.25" customHeight="1" x14ac:dyDescent="0.3">
      <c r="B361" s="49"/>
    </row>
    <row r="362" spans="2:2" ht="14.25" customHeight="1" x14ac:dyDescent="0.3">
      <c r="B362" s="49"/>
    </row>
    <row r="363" spans="2:2" ht="14.25" customHeight="1" x14ac:dyDescent="0.3">
      <c r="B363" s="49"/>
    </row>
    <row r="364" spans="2:2" ht="14.25" customHeight="1" x14ac:dyDescent="0.3">
      <c r="B364" s="49"/>
    </row>
    <row r="365" spans="2:2" ht="14.25" customHeight="1" x14ac:dyDescent="0.3">
      <c r="B365" s="49"/>
    </row>
    <row r="366" spans="2:2" ht="14.25" customHeight="1" x14ac:dyDescent="0.3">
      <c r="B366" s="49"/>
    </row>
    <row r="367" spans="2:2" ht="14.25" customHeight="1" x14ac:dyDescent="0.3">
      <c r="B367" s="49"/>
    </row>
    <row r="368" spans="2:2" ht="14.25" customHeight="1" x14ac:dyDescent="0.3">
      <c r="B368" s="49"/>
    </row>
    <row r="369" spans="2:2" ht="14.25" customHeight="1" x14ac:dyDescent="0.3">
      <c r="B369" s="49"/>
    </row>
    <row r="370" spans="2:2" ht="14.25" customHeight="1" x14ac:dyDescent="0.3">
      <c r="B370" s="49"/>
    </row>
    <row r="371" spans="2:2" ht="14.25" customHeight="1" x14ac:dyDescent="0.3">
      <c r="B371" s="49"/>
    </row>
    <row r="372" spans="2:2" ht="14.25" customHeight="1" x14ac:dyDescent="0.3">
      <c r="B372" s="49"/>
    </row>
    <row r="373" spans="2:2" ht="14.25" customHeight="1" x14ac:dyDescent="0.3">
      <c r="B373" s="49"/>
    </row>
    <row r="374" spans="2:2" ht="14.25" customHeight="1" x14ac:dyDescent="0.3">
      <c r="B374" s="49"/>
    </row>
    <row r="375" spans="2:2" ht="14.25" customHeight="1" x14ac:dyDescent="0.3">
      <c r="B375" s="49"/>
    </row>
    <row r="376" spans="2:2" ht="14.25" customHeight="1" x14ac:dyDescent="0.3">
      <c r="B376" s="49"/>
    </row>
    <row r="377" spans="2:2" ht="14.25" customHeight="1" x14ac:dyDescent="0.3">
      <c r="B377" s="49"/>
    </row>
    <row r="378" spans="2:2" ht="14.25" customHeight="1" x14ac:dyDescent="0.3">
      <c r="B378" s="49"/>
    </row>
    <row r="379" spans="2:2" ht="14.25" customHeight="1" x14ac:dyDescent="0.3">
      <c r="B379" s="49"/>
    </row>
    <row r="380" spans="2:2" ht="14.25" customHeight="1" x14ac:dyDescent="0.3">
      <c r="B380" s="49"/>
    </row>
    <row r="381" spans="2:2" ht="14.25" customHeight="1" x14ac:dyDescent="0.3">
      <c r="B381" s="49"/>
    </row>
    <row r="382" spans="2:2" ht="14.25" customHeight="1" x14ac:dyDescent="0.3">
      <c r="B382" s="49"/>
    </row>
    <row r="383" spans="2:2" ht="14.25" customHeight="1" x14ac:dyDescent="0.3">
      <c r="B383" s="49"/>
    </row>
    <row r="384" spans="2:2" ht="14.25" customHeight="1" x14ac:dyDescent="0.3">
      <c r="B384" s="49"/>
    </row>
    <row r="385" spans="2:2" ht="14.25" customHeight="1" x14ac:dyDescent="0.3">
      <c r="B385" s="49"/>
    </row>
    <row r="386" spans="2:2" ht="14.25" customHeight="1" x14ac:dyDescent="0.3">
      <c r="B386" s="49"/>
    </row>
    <row r="387" spans="2:2" ht="14.25" customHeight="1" x14ac:dyDescent="0.3">
      <c r="B387" s="49"/>
    </row>
    <row r="388" spans="2:2" ht="14.25" customHeight="1" x14ac:dyDescent="0.3">
      <c r="B388" s="49"/>
    </row>
    <row r="389" spans="2:2" ht="14.25" customHeight="1" x14ac:dyDescent="0.3">
      <c r="B389" s="49"/>
    </row>
    <row r="390" spans="2:2" ht="14.25" customHeight="1" x14ac:dyDescent="0.3">
      <c r="B390" s="49"/>
    </row>
    <row r="391" spans="2:2" ht="14.25" customHeight="1" x14ac:dyDescent="0.3">
      <c r="B391" s="49"/>
    </row>
    <row r="392" spans="2:2" ht="14.25" customHeight="1" x14ac:dyDescent="0.3">
      <c r="B392" s="49"/>
    </row>
    <row r="393" spans="2:2" ht="14.25" customHeight="1" x14ac:dyDescent="0.3">
      <c r="B393" s="49"/>
    </row>
    <row r="394" spans="2:2" ht="14.25" customHeight="1" x14ac:dyDescent="0.3">
      <c r="B394" s="49"/>
    </row>
    <row r="395" spans="2:2" ht="14.25" customHeight="1" x14ac:dyDescent="0.3">
      <c r="B395" s="49"/>
    </row>
    <row r="396" spans="2:2" ht="14.25" customHeight="1" x14ac:dyDescent="0.3">
      <c r="B396" s="49"/>
    </row>
    <row r="397" spans="2:2" ht="14.25" customHeight="1" x14ac:dyDescent="0.3">
      <c r="B397" s="49"/>
    </row>
    <row r="398" spans="2:2" ht="14.25" customHeight="1" x14ac:dyDescent="0.3">
      <c r="B398" s="49"/>
    </row>
    <row r="399" spans="2:2" ht="14.25" customHeight="1" x14ac:dyDescent="0.3">
      <c r="B399" s="49"/>
    </row>
    <row r="400" spans="2:2" ht="14.25" customHeight="1" x14ac:dyDescent="0.3">
      <c r="B400" s="49"/>
    </row>
    <row r="401" spans="2:2" ht="14.25" customHeight="1" x14ac:dyDescent="0.3">
      <c r="B401" s="49"/>
    </row>
    <row r="402" spans="2:2" ht="14.25" customHeight="1" x14ac:dyDescent="0.3">
      <c r="B402" s="49"/>
    </row>
    <row r="403" spans="2:2" ht="14.25" customHeight="1" x14ac:dyDescent="0.3">
      <c r="B403" s="49"/>
    </row>
    <row r="404" spans="2:2" ht="14.25" customHeight="1" x14ac:dyDescent="0.3">
      <c r="B404" s="49"/>
    </row>
    <row r="405" spans="2:2" ht="14.25" customHeight="1" x14ac:dyDescent="0.3">
      <c r="B405" s="49"/>
    </row>
    <row r="406" spans="2:2" ht="14.25" customHeight="1" x14ac:dyDescent="0.3">
      <c r="B406" s="49"/>
    </row>
    <row r="407" spans="2:2" ht="14.25" customHeight="1" x14ac:dyDescent="0.3">
      <c r="B407" s="49"/>
    </row>
    <row r="408" spans="2:2" ht="14.25" customHeight="1" x14ac:dyDescent="0.3">
      <c r="B408" s="49"/>
    </row>
    <row r="409" spans="2:2" ht="14.25" customHeight="1" x14ac:dyDescent="0.3">
      <c r="B409" s="49"/>
    </row>
    <row r="410" spans="2:2" ht="14.25" customHeight="1" x14ac:dyDescent="0.3">
      <c r="B410" s="49"/>
    </row>
    <row r="411" spans="2:2" ht="14.25" customHeight="1" x14ac:dyDescent="0.3">
      <c r="B411" s="49"/>
    </row>
    <row r="412" spans="2:2" ht="14.25" customHeight="1" x14ac:dyDescent="0.3">
      <c r="B412" s="49"/>
    </row>
    <row r="413" spans="2:2" ht="14.25" customHeight="1" x14ac:dyDescent="0.3">
      <c r="B413" s="49"/>
    </row>
    <row r="414" spans="2:2" ht="14.25" customHeight="1" x14ac:dyDescent="0.3">
      <c r="B414" s="49"/>
    </row>
    <row r="415" spans="2:2" ht="14.25" customHeight="1" x14ac:dyDescent="0.3">
      <c r="B415" s="49"/>
    </row>
    <row r="416" spans="2:2" ht="14.25" customHeight="1" x14ac:dyDescent="0.3">
      <c r="B416" s="49"/>
    </row>
    <row r="417" spans="2:2" ht="14.25" customHeight="1" x14ac:dyDescent="0.3">
      <c r="B417" s="49"/>
    </row>
    <row r="418" spans="2:2" ht="14.25" customHeight="1" x14ac:dyDescent="0.3">
      <c r="B418" s="49"/>
    </row>
    <row r="419" spans="2:2" ht="14.25" customHeight="1" x14ac:dyDescent="0.3">
      <c r="B419" s="49"/>
    </row>
    <row r="420" spans="2:2" ht="14.25" customHeight="1" x14ac:dyDescent="0.3">
      <c r="B420" s="49"/>
    </row>
    <row r="421" spans="2:2" ht="14.25" customHeight="1" x14ac:dyDescent="0.3">
      <c r="B421" s="49"/>
    </row>
    <row r="422" spans="2:2" ht="14.25" customHeight="1" x14ac:dyDescent="0.3">
      <c r="B422" s="49"/>
    </row>
    <row r="423" spans="2:2" ht="14.25" customHeight="1" x14ac:dyDescent="0.3">
      <c r="B423" s="49"/>
    </row>
    <row r="424" spans="2:2" ht="14.25" customHeight="1" x14ac:dyDescent="0.3">
      <c r="B424" s="49"/>
    </row>
    <row r="425" spans="2:2" ht="14.25" customHeight="1" x14ac:dyDescent="0.3">
      <c r="B425" s="49"/>
    </row>
    <row r="426" spans="2:2" ht="14.25" customHeight="1" x14ac:dyDescent="0.3">
      <c r="B426" s="49"/>
    </row>
    <row r="427" spans="2:2" ht="14.25" customHeight="1" x14ac:dyDescent="0.3">
      <c r="B427" s="49"/>
    </row>
    <row r="428" spans="2:2" ht="14.25" customHeight="1" x14ac:dyDescent="0.3">
      <c r="B428" s="49"/>
    </row>
    <row r="429" spans="2:2" ht="14.25" customHeight="1" x14ac:dyDescent="0.3">
      <c r="B429" s="49"/>
    </row>
    <row r="430" spans="2:2" ht="14.25" customHeight="1" x14ac:dyDescent="0.3">
      <c r="B430" s="49"/>
    </row>
    <row r="431" spans="2:2" ht="14.25" customHeight="1" x14ac:dyDescent="0.3">
      <c r="B431" s="49"/>
    </row>
    <row r="432" spans="2:2" ht="14.25" customHeight="1" x14ac:dyDescent="0.3">
      <c r="B432" s="49"/>
    </row>
    <row r="433" spans="2:2" ht="14.25" customHeight="1" x14ac:dyDescent="0.3">
      <c r="B433" s="49"/>
    </row>
    <row r="434" spans="2:2" ht="14.25" customHeight="1" x14ac:dyDescent="0.3">
      <c r="B434" s="49"/>
    </row>
    <row r="435" spans="2:2" ht="14.25" customHeight="1" x14ac:dyDescent="0.3">
      <c r="B435" s="49"/>
    </row>
    <row r="436" spans="2:2" ht="14.25" customHeight="1" x14ac:dyDescent="0.3">
      <c r="B436" s="49"/>
    </row>
    <row r="437" spans="2:2" ht="14.25" customHeight="1" x14ac:dyDescent="0.3">
      <c r="B437" s="49"/>
    </row>
    <row r="438" spans="2:2" ht="14.25" customHeight="1" x14ac:dyDescent="0.3">
      <c r="B438" s="49"/>
    </row>
    <row r="439" spans="2:2" ht="14.25" customHeight="1" x14ac:dyDescent="0.3">
      <c r="B439" s="49"/>
    </row>
    <row r="440" spans="2:2" ht="14.25" customHeight="1" x14ac:dyDescent="0.3">
      <c r="B440" s="49"/>
    </row>
    <row r="441" spans="2:2" ht="14.25" customHeight="1" x14ac:dyDescent="0.3">
      <c r="B441" s="49"/>
    </row>
    <row r="442" spans="2:2" ht="14.25" customHeight="1" x14ac:dyDescent="0.3">
      <c r="B442" s="49"/>
    </row>
    <row r="443" spans="2:2" ht="14.25" customHeight="1" x14ac:dyDescent="0.3">
      <c r="B443" s="49"/>
    </row>
    <row r="444" spans="2:2" ht="14.25" customHeight="1" x14ac:dyDescent="0.3">
      <c r="B444" s="49"/>
    </row>
    <row r="445" spans="2:2" ht="14.25" customHeight="1" x14ac:dyDescent="0.3">
      <c r="B445" s="49"/>
    </row>
    <row r="446" spans="2:2" ht="14.25" customHeight="1" x14ac:dyDescent="0.3">
      <c r="B446" s="49"/>
    </row>
    <row r="447" spans="2:2" ht="14.25" customHeight="1" x14ac:dyDescent="0.3">
      <c r="B447" s="49"/>
    </row>
    <row r="448" spans="2:2" ht="14.25" customHeight="1" x14ac:dyDescent="0.3">
      <c r="B448" s="49"/>
    </row>
    <row r="449" spans="2:2" ht="14.25" customHeight="1" x14ac:dyDescent="0.3">
      <c r="B449" s="49"/>
    </row>
    <row r="450" spans="2:2" ht="14.25" customHeight="1" x14ac:dyDescent="0.3">
      <c r="B450" s="49"/>
    </row>
    <row r="451" spans="2:2" ht="14.25" customHeight="1" x14ac:dyDescent="0.3">
      <c r="B451" s="49"/>
    </row>
    <row r="452" spans="2:2" ht="14.25" customHeight="1" x14ac:dyDescent="0.3">
      <c r="B452" s="49"/>
    </row>
    <row r="453" spans="2:2" ht="14.25" customHeight="1" x14ac:dyDescent="0.3">
      <c r="B453" s="49"/>
    </row>
    <row r="454" spans="2:2" ht="14.25" customHeight="1" x14ac:dyDescent="0.3">
      <c r="B454" s="49"/>
    </row>
    <row r="455" spans="2:2" ht="14.25" customHeight="1" x14ac:dyDescent="0.3">
      <c r="B455" s="49"/>
    </row>
    <row r="456" spans="2:2" ht="14.25" customHeight="1" x14ac:dyDescent="0.3">
      <c r="B456" s="49"/>
    </row>
    <row r="457" spans="2:2" ht="14.25" customHeight="1" x14ac:dyDescent="0.3">
      <c r="B457" s="49"/>
    </row>
    <row r="458" spans="2:2" ht="14.25" customHeight="1" x14ac:dyDescent="0.3">
      <c r="B458" s="49"/>
    </row>
    <row r="459" spans="2:2" ht="14.25" customHeight="1" x14ac:dyDescent="0.3">
      <c r="B459" s="49"/>
    </row>
    <row r="460" spans="2:2" ht="14.25" customHeight="1" x14ac:dyDescent="0.3">
      <c r="B460" s="49"/>
    </row>
    <row r="461" spans="2:2" ht="14.25" customHeight="1" x14ac:dyDescent="0.3">
      <c r="B461" s="49"/>
    </row>
    <row r="462" spans="2:2" ht="14.25" customHeight="1" x14ac:dyDescent="0.3">
      <c r="B462" s="49"/>
    </row>
    <row r="463" spans="2:2" ht="14.25" customHeight="1" x14ac:dyDescent="0.3">
      <c r="B463" s="49"/>
    </row>
    <row r="464" spans="2:2" ht="14.25" customHeight="1" x14ac:dyDescent="0.3">
      <c r="B464" s="49"/>
    </row>
    <row r="465" spans="2:2" ht="14.25" customHeight="1" x14ac:dyDescent="0.3">
      <c r="B465" s="49"/>
    </row>
    <row r="466" spans="2:2" ht="14.25" customHeight="1" x14ac:dyDescent="0.3">
      <c r="B466" s="49"/>
    </row>
    <row r="467" spans="2:2" ht="14.25" customHeight="1" x14ac:dyDescent="0.3">
      <c r="B467" s="49"/>
    </row>
    <row r="468" spans="2:2" ht="14.25" customHeight="1" x14ac:dyDescent="0.3">
      <c r="B468" s="49"/>
    </row>
    <row r="469" spans="2:2" ht="14.25" customHeight="1" x14ac:dyDescent="0.3">
      <c r="B469" s="49"/>
    </row>
    <row r="470" spans="2:2" ht="14.25" customHeight="1" x14ac:dyDescent="0.3">
      <c r="B470" s="49"/>
    </row>
    <row r="471" spans="2:2" ht="14.25" customHeight="1" x14ac:dyDescent="0.3">
      <c r="B471" s="49"/>
    </row>
    <row r="472" spans="2:2" ht="14.25" customHeight="1" x14ac:dyDescent="0.3">
      <c r="B472" s="49"/>
    </row>
    <row r="473" spans="2:2" ht="14.25" customHeight="1" x14ac:dyDescent="0.3">
      <c r="B473" s="49"/>
    </row>
    <row r="474" spans="2:2" ht="14.25" customHeight="1" x14ac:dyDescent="0.3">
      <c r="B474" s="49"/>
    </row>
    <row r="475" spans="2:2" ht="14.25" customHeight="1" x14ac:dyDescent="0.3">
      <c r="B475" s="49"/>
    </row>
    <row r="476" spans="2:2" ht="14.25" customHeight="1" x14ac:dyDescent="0.3">
      <c r="B476" s="49"/>
    </row>
    <row r="477" spans="2:2" ht="14.25" customHeight="1" x14ac:dyDescent="0.3">
      <c r="B477" s="49"/>
    </row>
    <row r="478" spans="2:2" ht="14.25" customHeight="1" x14ac:dyDescent="0.3">
      <c r="B478" s="49"/>
    </row>
    <row r="479" spans="2:2" ht="14.25" customHeight="1" x14ac:dyDescent="0.3">
      <c r="B479" s="49"/>
    </row>
    <row r="480" spans="2:2" ht="14.25" customHeight="1" x14ac:dyDescent="0.3">
      <c r="B480" s="49"/>
    </row>
    <row r="481" spans="2:2" ht="14.25" customHeight="1" x14ac:dyDescent="0.3">
      <c r="B481" s="49"/>
    </row>
    <row r="482" spans="2:2" ht="14.25" customHeight="1" x14ac:dyDescent="0.3">
      <c r="B482" s="49"/>
    </row>
    <row r="483" spans="2:2" ht="14.25" customHeight="1" x14ac:dyDescent="0.3">
      <c r="B483" s="49"/>
    </row>
    <row r="484" spans="2:2" ht="14.25" customHeight="1" x14ac:dyDescent="0.3">
      <c r="B484" s="49"/>
    </row>
    <row r="485" spans="2:2" ht="14.25" customHeight="1" x14ac:dyDescent="0.3">
      <c r="B485" s="49"/>
    </row>
    <row r="486" spans="2:2" ht="14.25" customHeight="1" x14ac:dyDescent="0.3">
      <c r="B486" s="49"/>
    </row>
    <row r="487" spans="2:2" ht="14.25" customHeight="1" x14ac:dyDescent="0.3">
      <c r="B487" s="49"/>
    </row>
    <row r="488" spans="2:2" ht="14.25" customHeight="1" x14ac:dyDescent="0.3">
      <c r="B488" s="49"/>
    </row>
    <row r="489" spans="2:2" ht="14.25" customHeight="1" x14ac:dyDescent="0.3">
      <c r="B489" s="49"/>
    </row>
    <row r="490" spans="2:2" ht="14.25" customHeight="1" x14ac:dyDescent="0.3">
      <c r="B490" s="49"/>
    </row>
    <row r="491" spans="2:2" ht="14.25" customHeight="1" x14ac:dyDescent="0.3">
      <c r="B491" s="49"/>
    </row>
    <row r="492" spans="2:2" ht="14.25" customHeight="1" x14ac:dyDescent="0.3">
      <c r="B492" s="49"/>
    </row>
    <row r="493" spans="2:2" ht="14.25" customHeight="1" x14ac:dyDescent="0.3">
      <c r="B493" s="49"/>
    </row>
    <row r="494" spans="2:2" ht="14.25" customHeight="1" x14ac:dyDescent="0.3">
      <c r="B494" s="49"/>
    </row>
    <row r="495" spans="2:2" ht="14.25" customHeight="1" x14ac:dyDescent="0.3">
      <c r="B495" s="49"/>
    </row>
    <row r="496" spans="2:2" ht="14.25" customHeight="1" x14ac:dyDescent="0.3">
      <c r="B496" s="49"/>
    </row>
    <row r="497" spans="2:2" ht="14.25" customHeight="1" x14ac:dyDescent="0.3">
      <c r="B497" s="49"/>
    </row>
    <row r="498" spans="2:2" ht="14.25" customHeight="1" x14ac:dyDescent="0.3">
      <c r="B498" s="49"/>
    </row>
    <row r="499" spans="2:2" ht="14.25" customHeight="1" x14ac:dyDescent="0.3">
      <c r="B499" s="49"/>
    </row>
    <row r="500" spans="2:2" ht="14.25" customHeight="1" x14ac:dyDescent="0.3">
      <c r="B500" s="49"/>
    </row>
    <row r="501" spans="2:2" ht="14.25" customHeight="1" x14ac:dyDescent="0.3">
      <c r="B501" s="49"/>
    </row>
    <row r="502" spans="2:2" ht="14.25" customHeight="1" x14ac:dyDescent="0.3">
      <c r="B502" s="49"/>
    </row>
    <row r="503" spans="2:2" ht="14.25" customHeight="1" x14ac:dyDescent="0.3">
      <c r="B503" s="49"/>
    </row>
    <row r="504" spans="2:2" ht="14.25" customHeight="1" x14ac:dyDescent="0.3">
      <c r="B504" s="49"/>
    </row>
    <row r="505" spans="2:2" ht="14.25" customHeight="1" x14ac:dyDescent="0.3">
      <c r="B505" s="49"/>
    </row>
    <row r="506" spans="2:2" ht="14.25" customHeight="1" x14ac:dyDescent="0.3">
      <c r="B506" s="49"/>
    </row>
    <row r="507" spans="2:2" ht="14.25" customHeight="1" x14ac:dyDescent="0.3">
      <c r="B507" s="49"/>
    </row>
    <row r="508" spans="2:2" ht="14.25" customHeight="1" x14ac:dyDescent="0.3">
      <c r="B508" s="49"/>
    </row>
    <row r="509" spans="2:2" ht="14.25" customHeight="1" x14ac:dyDescent="0.3">
      <c r="B509" s="49"/>
    </row>
    <row r="510" spans="2:2" ht="14.25" customHeight="1" x14ac:dyDescent="0.3">
      <c r="B510" s="49"/>
    </row>
    <row r="511" spans="2:2" ht="14.25" customHeight="1" x14ac:dyDescent="0.3">
      <c r="B511" s="49"/>
    </row>
    <row r="512" spans="2:2" ht="14.25" customHeight="1" x14ac:dyDescent="0.3">
      <c r="B512" s="49"/>
    </row>
    <row r="513" spans="2:2" ht="14.25" customHeight="1" x14ac:dyDescent="0.3">
      <c r="B513" s="49"/>
    </row>
    <row r="514" spans="2:2" ht="14.25" customHeight="1" x14ac:dyDescent="0.3">
      <c r="B514" s="49"/>
    </row>
    <row r="515" spans="2:2" ht="14.25" customHeight="1" x14ac:dyDescent="0.3">
      <c r="B515" s="49"/>
    </row>
    <row r="516" spans="2:2" ht="14.25" customHeight="1" x14ac:dyDescent="0.3">
      <c r="B516" s="49"/>
    </row>
    <row r="517" spans="2:2" ht="14.25" customHeight="1" x14ac:dyDescent="0.3">
      <c r="B517" s="49"/>
    </row>
    <row r="518" spans="2:2" ht="14.25" customHeight="1" x14ac:dyDescent="0.3">
      <c r="B518" s="49"/>
    </row>
    <row r="519" spans="2:2" ht="14.25" customHeight="1" x14ac:dyDescent="0.3">
      <c r="B519" s="49"/>
    </row>
    <row r="520" spans="2:2" ht="14.25" customHeight="1" x14ac:dyDescent="0.3">
      <c r="B520" s="49"/>
    </row>
    <row r="521" spans="2:2" ht="14.25" customHeight="1" x14ac:dyDescent="0.3">
      <c r="B521" s="49"/>
    </row>
    <row r="522" spans="2:2" ht="14.25" customHeight="1" x14ac:dyDescent="0.3">
      <c r="B522" s="49"/>
    </row>
    <row r="523" spans="2:2" ht="14.25" customHeight="1" x14ac:dyDescent="0.3">
      <c r="B523" s="49"/>
    </row>
    <row r="524" spans="2:2" ht="14.25" customHeight="1" x14ac:dyDescent="0.3">
      <c r="B524" s="49"/>
    </row>
    <row r="525" spans="2:2" ht="14.25" customHeight="1" x14ac:dyDescent="0.3">
      <c r="B525" s="49"/>
    </row>
    <row r="526" spans="2:2" ht="14.25" customHeight="1" x14ac:dyDescent="0.3">
      <c r="B526" s="49"/>
    </row>
    <row r="527" spans="2:2" ht="14.25" customHeight="1" x14ac:dyDescent="0.3">
      <c r="B527" s="49"/>
    </row>
    <row r="528" spans="2:2" ht="14.25" customHeight="1" x14ac:dyDescent="0.3">
      <c r="B528" s="49"/>
    </row>
    <row r="529" spans="2:2" ht="14.25" customHeight="1" x14ac:dyDescent="0.3">
      <c r="B529" s="49"/>
    </row>
    <row r="530" spans="2:2" ht="14.25" customHeight="1" x14ac:dyDescent="0.3">
      <c r="B530" s="49"/>
    </row>
    <row r="531" spans="2:2" ht="14.25" customHeight="1" x14ac:dyDescent="0.3">
      <c r="B531" s="49"/>
    </row>
    <row r="532" spans="2:2" ht="14.25" customHeight="1" x14ac:dyDescent="0.3">
      <c r="B532" s="49"/>
    </row>
    <row r="533" spans="2:2" ht="14.25" customHeight="1" x14ac:dyDescent="0.3">
      <c r="B533" s="49"/>
    </row>
    <row r="534" spans="2:2" ht="14.25" customHeight="1" x14ac:dyDescent="0.3">
      <c r="B534" s="49"/>
    </row>
    <row r="535" spans="2:2" ht="14.25" customHeight="1" x14ac:dyDescent="0.3">
      <c r="B535" s="49"/>
    </row>
    <row r="536" spans="2:2" ht="14.25" customHeight="1" x14ac:dyDescent="0.3">
      <c r="B536" s="49"/>
    </row>
    <row r="537" spans="2:2" ht="14.25" customHeight="1" x14ac:dyDescent="0.3">
      <c r="B537" s="49"/>
    </row>
    <row r="538" spans="2:2" ht="14.25" customHeight="1" x14ac:dyDescent="0.3">
      <c r="B538" s="49"/>
    </row>
    <row r="539" spans="2:2" ht="14.25" customHeight="1" x14ac:dyDescent="0.3">
      <c r="B539" s="49"/>
    </row>
    <row r="540" spans="2:2" ht="14.25" customHeight="1" x14ac:dyDescent="0.3">
      <c r="B540" s="49"/>
    </row>
    <row r="541" spans="2:2" ht="14.25" customHeight="1" x14ac:dyDescent="0.3">
      <c r="B541" s="49"/>
    </row>
    <row r="542" spans="2:2" ht="14.25" customHeight="1" x14ac:dyDescent="0.3">
      <c r="B542" s="49"/>
    </row>
    <row r="543" spans="2:2" ht="14.25" customHeight="1" x14ac:dyDescent="0.3">
      <c r="B543" s="49"/>
    </row>
    <row r="544" spans="2:2" ht="14.25" customHeight="1" x14ac:dyDescent="0.3">
      <c r="B544" s="49"/>
    </row>
    <row r="545" spans="2:2" ht="14.25" customHeight="1" x14ac:dyDescent="0.3">
      <c r="B545" s="49"/>
    </row>
    <row r="546" spans="2:2" ht="14.25" customHeight="1" x14ac:dyDescent="0.3">
      <c r="B546" s="49"/>
    </row>
    <row r="547" spans="2:2" ht="14.25" customHeight="1" x14ac:dyDescent="0.3">
      <c r="B547" s="49"/>
    </row>
    <row r="548" spans="2:2" ht="14.25" customHeight="1" x14ac:dyDescent="0.3">
      <c r="B548" s="49"/>
    </row>
    <row r="549" spans="2:2" ht="14.25" customHeight="1" x14ac:dyDescent="0.3">
      <c r="B549" s="49"/>
    </row>
    <row r="550" spans="2:2" ht="14.25" customHeight="1" x14ac:dyDescent="0.3">
      <c r="B550" s="49"/>
    </row>
    <row r="551" spans="2:2" ht="14.25" customHeight="1" x14ac:dyDescent="0.3">
      <c r="B551" s="49"/>
    </row>
    <row r="552" spans="2:2" ht="14.25" customHeight="1" x14ac:dyDescent="0.3">
      <c r="B552" s="49"/>
    </row>
    <row r="553" spans="2:2" ht="14.25" customHeight="1" x14ac:dyDescent="0.3">
      <c r="B553" s="49"/>
    </row>
    <row r="554" spans="2:2" ht="14.25" customHeight="1" x14ac:dyDescent="0.3">
      <c r="B554" s="49"/>
    </row>
    <row r="555" spans="2:2" ht="14.25" customHeight="1" x14ac:dyDescent="0.3">
      <c r="B555" s="49"/>
    </row>
    <row r="556" spans="2:2" ht="14.25" customHeight="1" x14ac:dyDescent="0.3">
      <c r="B556" s="49"/>
    </row>
    <row r="557" spans="2:2" ht="14.25" customHeight="1" x14ac:dyDescent="0.3">
      <c r="B557" s="49"/>
    </row>
    <row r="558" spans="2:2" ht="14.25" customHeight="1" x14ac:dyDescent="0.3">
      <c r="B558" s="49"/>
    </row>
    <row r="559" spans="2:2" ht="14.25" customHeight="1" x14ac:dyDescent="0.3">
      <c r="B559" s="49"/>
    </row>
    <row r="560" spans="2:2" ht="14.25" customHeight="1" x14ac:dyDescent="0.3">
      <c r="B560" s="49"/>
    </row>
    <row r="561" spans="2:2" ht="14.25" customHeight="1" x14ac:dyDescent="0.3">
      <c r="B561" s="49"/>
    </row>
    <row r="562" spans="2:2" ht="14.25" customHeight="1" x14ac:dyDescent="0.3">
      <c r="B562" s="49"/>
    </row>
    <row r="563" spans="2:2" ht="14.25" customHeight="1" x14ac:dyDescent="0.3">
      <c r="B563" s="49"/>
    </row>
    <row r="564" spans="2:2" ht="14.25" customHeight="1" x14ac:dyDescent="0.3">
      <c r="B564" s="49"/>
    </row>
    <row r="565" spans="2:2" ht="14.25" customHeight="1" x14ac:dyDescent="0.3">
      <c r="B565" s="49"/>
    </row>
    <row r="566" spans="2:2" ht="14.25" customHeight="1" x14ac:dyDescent="0.3">
      <c r="B566" s="49"/>
    </row>
    <row r="567" spans="2:2" ht="14.25" customHeight="1" x14ac:dyDescent="0.3">
      <c r="B567" s="49"/>
    </row>
    <row r="568" spans="2:2" ht="14.25" customHeight="1" x14ac:dyDescent="0.3">
      <c r="B568" s="49"/>
    </row>
    <row r="569" spans="2:2" ht="14.25" customHeight="1" x14ac:dyDescent="0.3">
      <c r="B569" s="49"/>
    </row>
    <row r="570" spans="2:2" ht="14.25" customHeight="1" x14ac:dyDescent="0.3">
      <c r="B570" s="49"/>
    </row>
    <row r="571" spans="2:2" ht="14.25" customHeight="1" x14ac:dyDescent="0.3">
      <c r="B571" s="49"/>
    </row>
    <row r="572" spans="2:2" ht="14.25" customHeight="1" x14ac:dyDescent="0.3">
      <c r="B572" s="49"/>
    </row>
    <row r="573" spans="2:2" ht="14.25" customHeight="1" x14ac:dyDescent="0.3">
      <c r="B573" s="49"/>
    </row>
    <row r="574" spans="2:2" ht="14.25" customHeight="1" x14ac:dyDescent="0.3">
      <c r="B574" s="49"/>
    </row>
    <row r="575" spans="2:2" ht="14.25" customHeight="1" x14ac:dyDescent="0.3">
      <c r="B575" s="49"/>
    </row>
    <row r="576" spans="2:2" ht="14.25" customHeight="1" x14ac:dyDescent="0.3">
      <c r="B576" s="49"/>
    </row>
    <row r="577" spans="2:2" ht="14.25" customHeight="1" x14ac:dyDescent="0.3">
      <c r="B577" s="49"/>
    </row>
    <row r="578" spans="2:2" ht="14.25" customHeight="1" x14ac:dyDescent="0.3">
      <c r="B578" s="49"/>
    </row>
    <row r="579" spans="2:2" ht="14.25" customHeight="1" x14ac:dyDescent="0.3">
      <c r="B579" s="49"/>
    </row>
    <row r="580" spans="2:2" ht="14.25" customHeight="1" x14ac:dyDescent="0.3">
      <c r="B580" s="49"/>
    </row>
    <row r="581" spans="2:2" ht="14.25" customHeight="1" x14ac:dyDescent="0.3">
      <c r="B581" s="49"/>
    </row>
    <row r="582" spans="2:2" ht="14.25" customHeight="1" x14ac:dyDescent="0.3">
      <c r="B582" s="49"/>
    </row>
    <row r="583" spans="2:2" ht="14.25" customHeight="1" x14ac:dyDescent="0.3">
      <c r="B583" s="49"/>
    </row>
    <row r="584" spans="2:2" ht="14.25" customHeight="1" x14ac:dyDescent="0.3">
      <c r="B584" s="49"/>
    </row>
    <row r="585" spans="2:2" ht="14.25" customHeight="1" x14ac:dyDescent="0.3">
      <c r="B585" s="49"/>
    </row>
    <row r="586" spans="2:2" ht="14.25" customHeight="1" x14ac:dyDescent="0.3">
      <c r="B586" s="49"/>
    </row>
    <row r="587" spans="2:2" ht="14.25" customHeight="1" x14ac:dyDescent="0.3">
      <c r="B587" s="49"/>
    </row>
    <row r="588" spans="2:2" ht="14.25" customHeight="1" x14ac:dyDescent="0.3">
      <c r="B588" s="49"/>
    </row>
    <row r="589" spans="2:2" ht="14.25" customHeight="1" x14ac:dyDescent="0.3">
      <c r="B589" s="49"/>
    </row>
    <row r="590" spans="2:2" ht="14.25" customHeight="1" x14ac:dyDescent="0.3">
      <c r="B590" s="49"/>
    </row>
    <row r="591" spans="2:2" ht="14.25" customHeight="1" x14ac:dyDescent="0.3">
      <c r="B591" s="49"/>
    </row>
    <row r="592" spans="2:2" ht="14.25" customHeight="1" x14ac:dyDescent="0.3">
      <c r="B592" s="49"/>
    </row>
    <row r="593" spans="2:2" ht="14.25" customHeight="1" x14ac:dyDescent="0.3">
      <c r="B593" s="49"/>
    </row>
    <row r="594" spans="2:2" ht="14.25" customHeight="1" x14ac:dyDescent="0.3">
      <c r="B594" s="49"/>
    </row>
    <row r="595" spans="2:2" ht="14.25" customHeight="1" x14ac:dyDescent="0.3">
      <c r="B595" s="49"/>
    </row>
    <row r="596" spans="2:2" ht="14.25" customHeight="1" x14ac:dyDescent="0.3">
      <c r="B596" s="49"/>
    </row>
    <row r="597" spans="2:2" ht="14.25" customHeight="1" x14ac:dyDescent="0.3">
      <c r="B597" s="49"/>
    </row>
    <row r="598" spans="2:2" ht="14.25" customHeight="1" x14ac:dyDescent="0.3">
      <c r="B598" s="49"/>
    </row>
    <row r="599" spans="2:2" ht="14.25" customHeight="1" x14ac:dyDescent="0.3">
      <c r="B599" s="49"/>
    </row>
    <row r="600" spans="2:2" ht="14.25" customHeight="1" x14ac:dyDescent="0.3">
      <c r="B600" s="49"/>
    </row>
    <row r="601" spans="2:2" ht="14.25" customHeight="1" x14ac:dyDescent="0.3">
      <c r="B601" s="49"/>
    </row>
    <row r="602" spans="2:2" ht="14.25" customHeight="1" x14ac:dyDescent="0.3">
      <c r="B602" s="49"/>
    </row>
    <row r="603" spans="2:2" ht="14.25" customHeight="1" x14ac:dyDescent="0.3">
      <c r="B603" s="49"/>
    </row>
    <row r="604" spans="2:2" ht="14.25" customHeight="1" x14ac:dyDescent="0.3">
      <c r="B604" s="49"/>
    </row>
    <row r="605" spans="2:2" ht="14.25" customHeight="1" x14ac:dyDescent="0.3">
      <c r="B605" s="49"/>
    </row>
    <row r="606" spans="2:2" ht="14.25" customHeight="1" x14ac:dyDescent="0.3">
      <c r="B606" s="49"/>
    </row>
    <row r="607" spans="2:2" ht="14.25" customHeight="1" x14ac:dyDescent="0.3">
      <c r="B607" s="49"/>
    </row>
    <row r="608" spans="2:2" ht="14.25" customHeight="1" x14ac:dyDescent="0.3">
      <c r="B608" s="49"/>
    </row>
    <row r="609" spans="2:2" ht="14.25" customHeight="1" x14ac:dyDescent="0.3">
      <c r="B609" s="49"/>
    </row>
    <row r="610" spans="2:2" ht="14.25" customHeight="1" x14ac:dyDescent="0.3">
      <c r="B610" s="49"/>
    </row>
    <row r="611" spans="2:2" ht="14.25" customHeight="1" x14ac:dyDescent="0.3">
      <c r="B611" s="49"/>
    </row>
    <row r="612" spans="2:2" ht="14.25" customHeight="1" x14ac:dyDescent="0.3">
      <c r="B612" s="49"/>
    </row>
    <row r="613" spans="2:2" ht="14.25" customHeight="1" x14ac:dyDescent="0.3">
      <c r="B613" s="49"/>
    </row>
    <row r="614" spans="2:2" ht="14.25" customHeight="1" x14ac:dyDescent="0.3">
      <c r="B614" s="49"/>
    </row>
    <row r="615" spans="2:2" ht="14.25" customHeight="1" x14ac:dyDescent="0.3">
      <c r="B615" s="49"/>
    </row>
    <row r="616" spans="2:2" ht="14.25" customHeight="1" x14ac:dyDescent="0.3">
      <c r="B616" s="49"/>
    </row>
    <row r="617" spans="2:2" ht="14.25" customHeight="1" x14ac:dyDescent="0.3">
      <c r="B617" s="49"/>
    </row>
    <row r="618" spans="2:2" ht="14.25" customHeight="1" x14ac:dyDescent="0.3">
      <c r="B618" s="49"/>
    </row>
    <row r="619" spans="2:2" ht="14.25" customHeight="1" x14ac:dyDescent="0.3">
      <c r="B619" s="49"/>
    </row>
    <row r="620" spans="2:2" ht="14.25" customHeight="1" x14ac:dyDescent="0.3">
      <c r="B620" s="49"/>
    </row>
    <row r="621" spans="2:2" ht="14.25" customHeight="1" x14ac:dyDescent="0.3">
      <c r="B621" s="49"/>
    </row>
    <row r="622" spans="2:2" ht="14.25" customHeight="1" x14ac:dyDescent="0.3">
      <c r="B622" s="49"/>
    </row>
    <row r="623" spans="2:2" ht="14.25" customHeight="1" x14ac:dyDescent="0.3">
      <c r="B623" s="49"/>
    </row>
    <row r="624" spans="2:2" ht="14.25" customHeight="1" x14ac:dyDescent="0.3">
      <c r="B624" s="49"/>
    </row>
    <row r="625" spans="2:2" ht="14.25" customHeight="1" x14ac:dyDescent="0.3">
      <c r="B625" s="49"/>
    </row>
    <row r="626" spans="2:2" ht="14.25" customHeight="1" x14ac:dyDescent="0.3">
      <c r="B626" s="49"/>
    </row>
    <row r="627" spans="2:2" ht="14.25" customHeight="1" x14ac:dyDescent="0.3">
      <c r="B627" s="49"/>
    </row>
    <row r="628" spans="2:2" ht="14.25" customHeight="1" x14ac:dyDescent="0.3">
      <c r="B628" s="49"/>
    </row>
    <row r="629" spans="2:2" ht="14.25" customHeight="1" x14ac:dyDescent="0.3">
      <c r="B629" s="49"/>
    </row>
    <row r="630" spans="2:2" ht="14.25" customHeight="1" x14ac:dyDescent="0.3">
      <c r="B630" s="49"/>
    </row>
    <row r="631" spans="2:2" ht="14.25" customHeight="1" x14ac:dyDescent="0.3">
      <c r="B631" s="49"/>
    </row>
    <row r="632" spans="2:2" ht="14.25" customHeight="1" x14ac:dyDescent="0.3">
      <c r="B632" s="49"/>
    </row>
    <row r="633" spans="2:2" ht="14.25" customHeight="1" x14ac:dyDescent="0.3">
      <c r="B633" s="49"/>
    </row>
    <row r="634" spans="2:2" ht="14.25" customHeight="1" x14ac:dyDescent="0.3">
      <c r="B634" s="49"/>
    </row>
    <row r="635" spans="2:2" ht="14.25" customHeight="1" x14ac:dyDescent="0.3">
      <c r="B635" s="49"/>
    </row>
    <row r="636" spans="2:2" ht="14.25" customHeight="1" x14ac:dyDescent="0.3">
      <c r="B636" s="49"/>
    </row>
    <row r="637" spans="2:2" ht="14.25" customHeight="1" x14ac:dyDescent="0.3">
      <c r="B637" s="49"/>
    </row>
    <row r="638" spans="2:2" ht="14.25" customHeight="1" x14ac:dyDescent="0.3">
      <c r="B638" s="49"/>
    </row>
    <row r="639" spans="2:2" ht="14.25" customHeight="1" x14ac:dyDescent="0.3">
      <c r="B639" s="49"/>
    </row>
    <row r="640" spans="2:2" ht="14.25" customHeight="1" x14ac:dyDescent="0.3">
      <c r="B640" s="49"/>
    </row>
    <row r="641" spans="2:2" ht="14.25" customHeight="1" x14ac:dyDescent="0.3">
      <c r="B641" s="49"/>
    </row>
    <row r="642" spans="2:2" ht="14.25" customHeight="1" x14ac:dyDescent="0.3">
      <c r="B642" s="49"/>
    </row>
    <row r="643" spans="2:2" ht="14.25" customHeight="1" x14ac:dyDescent="0.3">
      <c r="B643" s="49"/>
    </row>
    <row r="644" spans="2:2" ht="14.25" customHeight="1" x14ac:dyDescent="0.3">
      <c r="B644" s="49"/>
    </row>
    <row r="645" spans="2:2" ht="14.25" customHeight="1" x14ac:dyDescent="0.3">
      <c r="B645" s="49"/>
    </row>
    <row r="646" spans="2:2" ht="14.25" customHeight="1" x14ac:dyDescent="0.3">
      <c r="B646" s="49"/>
    </row>
    <row r="647" spans="2:2" ht="14.25" customHeight="1" x14ac:dyDescent="0.3">
      <c r="B647" s="49"/>
    </row>
    <row r="648" spans="2:2" ht="14.25" customHeight="1" x14ac:dyDescent="0.3">
      <c r="B648" s="49"/>
    </row>
    <row r="649" spans="2:2" ht="14.25" customHeight="1" x14ac:dyDescent="0.3">
      <c r="B649" s="49"/>
    </row>
    <row r="650" spans="2:2" ht="14.25" customHeight="1" x14ac:dyDescent="0.3">
      <c r="B650" s="49"/>
    </row>
    <row r="651" spans="2:2" ht="14.25" customHeight="1" x14ac:dyDescent="0.3">
      <c r="B651" s="49"/>
    </row>
    <row r="652" spans="2:2" ht="14.25" customHeight="1" x14ac:dyDescent="0.3">
      <c r="B652" s="49"/>
    </row>
    <row r="653" spans="2:2" ht="14.25" customHeight="1" x14ac:dyDescent="0.3">
      <c r="B653" s="49"/>
    </row>
    <row r="654" spans="2:2" ht="14.25" customHeight="1" x14ac:dyDescent="0.3">
      <c r="B654" s="49"/>
    </row>
    <row r="655" spans="2:2" ht="14.25" customHeight="1" x14ac:dyDescent="0.3">
      <c r="B655" s="49"/>
    </row>
    <row r="656" spans="2:2" ht="14.25" customHeight="1" x14ac:dyDescent="0.3">
      <c r="B656" s="49"/>
    </row>
    <row r="657" spans="2:2" ht="14.25" customHeight="1" x14ac:dyDescent="0.3">
      <c r="B657" s="49"/>
    </row>
    <row r="658" spans="2:2" ht="14.25" customHeight="1" x14ac:dyDescent="0.3">
      <c r="B658" s="49"/>
    </row>
    <row r="659" spans="2:2" ht="14.25" customHeight="1" x14ac:dyDescent="0.3">
      <c r="B659" s="49"/>
    </row>
    <row r="660" spans="2:2" ht="14.25" customHeight="1" x14ac:dyDescent="0.3">
      <c r="B660" s="49"/>
    </row>
    <row r="661" spans="2:2" ht="14.25" customHeight="1" x14ac:dyDescent="0.3">
      <c r="B661" s="49"/>
    </row>
    <row r="662" spans="2:2" ht="14.25" customHeight="1" x14ac:dyDescent="0.3">
      <c r="B662" s="49"/>
    </row>
    <row r="663" spans="2:2" ht="14.25" customHeight="1" x14ac:dyDescent="0.3">
      <c r="B663" s="49"/>
    </row>
    <row r="664" spans="2:2" ht="14.25" customHeight="1" x14ac:dyDescent="0.3">
      <c r="B664" s="49"/>
    </row>
    <row r="665" spans="2:2" ht="14.25" customHeight="1" x14ac:dyDescent="0.3">
      <c r="B665" s="49"/>
    </row>
    <row r="666" spans="2:2" ht="14.25" customHeight="1" x14ac:dyDescent="0.3">
      <c r="B666" s="49"/>
    </row>
    <row r="667" spans="2:2" ht="14.25" customHeight="1" x14ac:dyDescent="0.3">
      <c r="B667" s="49"/>
    </row>
    <row r="668" spans="2:2" ht="14.25" customHeight="1" x14ac:dyDescent="0.3">
      <c r="B668" s="49"/>
    </row>
    <row r="669" spans="2:2" ht="14.25" customHeight="1" x14ac:dyDescent="0.3">
      <c r="B669" s="49"/>
    </row>
    <row r="670" spans="2:2" ht="14.25" customHeight="1" x14ac:dyDescent="0.3">
      <c r="B670" s="49"/>
    </row>
    <row r="671" spans="2:2" ht="14.25" customHeight="1" x14ac:dyDescent="0.3">
      <c r="B671" s="49"/>
    </row>
    <row r="672" spans="2:2" ht="14.25" customHeight="1" x14ac:dyDescent="0.3">
      <c r="B672" s="49"/>
    </row>
    <row r="673" spans="2:2" ht="14.25" customHeight="1" x14ac:dyDescent="0.3">
      <c r="B673" s="49"/>
    </row>
    <row r="674" spans="2:2" ht="14.25" customHeight="1" x14ac:dyDescent="0.3">
      <c r="B674" s="49"/>
    </row>
    <row r="675" spans="2:2" ht="14.25" customHeight="1" x14ac:dyDescent="0.3">
      <c r="B675" s="49"/>
    </row>
    <row r="676" spans="2:2" ht="14.25" customHeight="1" x14ac:dyDescent="0.3">
      <c r="B676" s="49"/>
    </row>
    <row r="677" spans="2:2" ht="14.25" customHeight="1" x14ac:dyDescent="0.3">
      <c r="B677" s="49"/>
    </row>
    <row r="678" spans="2:2" ht="14.25" customHeight="1" x14ac:dyDescent="0.3">
      <c r="B678" s="49"/>
    </row>
    <row r="679" spans="2:2" ht="14.25" customHeight="1" x14ac:dyDescent="0.3">
      <c r="B679" s="49"/>
    </row>
    <row r="680" spans="2:2" ht="14.25" customHeight="1" x14ac:dyDescent="0.3">
      <c r="B680" s="49"/>
    </row>
    <row r="681" spans="2:2" ht="14.25" customHeight="1" x14ac:dyDescent="0.3">
      <c r="B681" s="49"/>
    </row>
    <row r="682" spans="2:2" ht="14.25" customHeight="1" x14ac:dyDescent="0.3">
      <c r="B682" s="49"/>
    </row>
    <row r="683" spans="2:2" ht="14.25" customHeight="1" x14ac:dyDescent="0.3">
      <c r="B683" s="49"/>
    </row>
    <row r="684" spans="2:2" ht="14.25" customHeight="1" x14ac:dyDescent="0.3">
      <c r="B684" s="49"/>
    </row>
    <row r="685" spans="2:2" ht="14.25" customHeight="1" x14ac:dyDescent="0.3">
      <c r="B685" s="49"/>
    </row>
    <row r="686" spans="2:2" ht="14.25" customHeight="1" x14ac:dyDescent="0.3">
      <c r="B686" s="49"/>
    </row>
    <row r="687" spans="2:2" ht="14.25" customHeight="1" x14ac:dyDescent="0.3">
      <c r="B687" s="49"/>
    </row>
    <row r="688" spans="2:2" ht="14.25" customHeight="1" x14ac:dyDescent="0.3">
      <c r="B688" s="49"/>
    </row>
    <row r="689" spans="2:2" ht="14.25" customHeight="1" x14ac:dyDescent="0.3">
      <c r="B689" s="49"/>
    </row>
    <row r="690" spans="2:2" ht="14.25" customHeight="1" x14ac:dyDescent="0.3">
      <c r="B690" s="49"/>
    </row>
    <row r="691" spans="2:2" ht="14.25" customHeight="1" x14ac:dyDescent="0.3">
      <c r="B691" s="49"/>
    </row>
    <row r="692" spans="2:2" ht="14.25" customHeight="1" x14ac:dyDescent="0.3">
      <c r="B692" s="49"/>
    </row>
    <row r="693" spans="2:2" ht="14.25" customHeight="1" x14ac:dyDescent="0.3">
      <c r="B693" s="49"/>
    </row>
    <row r="694" spans="2:2" ht="14.25" customHeight="1" x14ac:dyDescent="0.3">
      <c r="B694" s="49"/>
    </row>
    <row r="695" spans="2:2" ht="14.25" customHeight="1" x14ac:dyDescent="0.3">
      <c r="B695" s="49"/>
    </row>
    <row r="696" spans="2:2" ht="14.25" customHeight="1" x14ac:dyDescent="0.3">
      <c r="B696" s="49"/>
    </row>
    <row r="697" spans="2:2" ht="14.25" customHeight="1" x14ac:dyDescent="0.3">
      <c r="B697" s="49"/>
    </row>
    <row r="698" spans="2:2" ht="14.25" customHeight="1" x14ac:dyDescent="0.3">
      <c r="B698" s="49"/>
    </row>
    <row r="699" spans="2:2" ht="14.25" customHeight="1" x14ac:dyDescent="0.3">
      <c r="B699" s="49"/>
    </row>
    <row r="700" spans="2:2" ht="14.25" customHeight="1" x14ac:dyDescent="0.3">
      <c r="B700" s="49"/>
    </row>
    <row r="701" spans="2:2" ht="14.25" customHeight="1" x14ac:dyDescent="0.3">
      <c r="B701" s="49"/>
    </row>
    <row r="702" spans="2:2" ht="14.25" customHeight="1" x14ac:dyDescent="0.3">
      <c r="B702" s="49"/>
    </row>
    <row r="703" spans="2:2" ht="14.25" customHeight="1" x14ac:dyDescent="0.3">
      <c r="B703" s="49"/>
    </row>
    <row r="704" spans="2:2" ht="14.25" customHeight="1" x14ac:dyDescent="0.3">
      <c r="B704" s="49"/>
    </row>
    <row r="705" spans="2:2" ht="14.25" customHeight="1" x14ac:dyDescent="0.3">
      <c r="B705" s="49"/>
    </row>
    <row r="706" spans="2:2" ht="14.25" customHeight="1" x14ac:dyDescent="0.3">
      <c r="B706" s="49"/>
    </row>
    <row r="707" spans="2:2" ht="14.25" customHeight="1" x14ac:dyDescent="0.3">
      <c r="B707" s="49"/>
    </row>
    <row r="708" spans="2:2" ht="14.25" customHeight="1" x14ac:dyDescent="0.3">
      <c r="B708" s="49"/>
    </row>
    <row r="709" spans="2:2" ht="14.25" customHeight="1" x14ac:dyDescent="0.3">
      <c r="B709" s="49"/>
    </row>
    <row r="710" spans="2:2" ht="14.25" customHeight="1" x14ac:dyDescent="0.3">
      <c r="B710" s="49"/>
    </row>
    <row r="711" spans="2:2" ht="14.25" customHeight="1" x14ac:dyDescent="0.3">
      <c r="B711" s="49"/>
    </row>
    <row r="712" spans="2:2" ht="14.25" customHeight="1" x14ac:dyDescent="0.3">
      <c r="B712" s="49"/>
    </row>
    <row r="713" spans="2:2" ht="14.25" customHeight="1" x14ac:dyDescent="0.3">
      <c r="B713" s="49"/>
    </row>
    <row r="714" spans="2:2" ht="14.25" customHeight="1" x14ac:dyDescent="0.3">
      <c r="B714" s="49"/>
    </row>
    <row r="715" spans="2:2" ht="14.25" customHeight="1" x14ac:dyDescent="0.3">
      <c r="B715" s="49"/>
    </row>
    <row r="716" spans="2:2" ht="14.25" customHeight="1" x14ac:dyDescent="0.3">
      <c r="B716" s="49"/>
    </row>
    <row r="717" spans="2:2" ht="14.25" customHeight="1" x14ac:dyDescent="0.3">
      <c r="B717" s="49"/>
    </row>
    <row r="718" spans="2:2" ht="14.25" customHeight="1" x14ac:dyDescent="0.3">
      <c r="B718" s="49"/>
    </row>
    <row r="719" spans="2:2" ht="14.25" customHeight="1" x14ac:dyDescent="0.3">
      <c r="B719" s="49"/>
    </row>
    <row r="720" spans="2:2" ht="14.25" customHeight="1" x14ac:dyDescent="0.3">
      <c r="B720" s="49"/>
    </row>
    <row r="721" spans="2:2" ht="14.25" customHeight="1" x14ac:dyDescent="0.3">
      <c r="B721" s="49"/>
    </row>
    <row r="722" spans="2:2" ht="14.25" customHeight="1" x14ac:dyDescent="0.3">
      <c r="B722" s="49"/>
    </row>
    <row r="723" spans="2:2" ht="14.25" customHeight="1" x14ac:dyDescent="0.3">
      <c r="B723" s="49"/>
    </row>
    <row r="724" spans="2:2" ht="14.25" customHeight="1" x14ac:dyDescent="0.3">
      <c r="B724" s="49"/>
    </row>
    <row r="725" spans="2:2" ht="14.25" customHeight="1" x14ac:dyDescent="0.3">
      <c r="B725" s="49"/>
    </row>
    <row r="726" spans="2:2" ht="14.25" customHeight="1" x14ac:dyDescent="0.3">
      <c r="B726" s="49"/>
    </row>
    <row r="727" spans="2:2" ht="14.25" customHeight="1" x14ac:dyDescent="0.3">
      <c r="B727" s="49"/>
    </row>
    <row r="728" spans="2:2" ht="14.25" customHeight="1" x14ac:dyDescent="0.3">
      <c r="B728" s="49"/>
    </row>
    <row r="729" spans="2:2" ht="14.25" customHeight="1" x14ac:dyDescent="0.3">
      <c r="B729" s="49"/>
    </row>
    <row r="730" spans="2:2" ht="14.25" customHeight="1" x14ac:dyDescent="0.3">
      <c r="B730" s="49"/>
    </row>
    <row r="731" spans="2:2" ht="14.25" customHeight="1" x14ac:dyDescent="0.3">
      <c r="B731" s="49"/>
    </row>
    <row r="732" spans="2:2" ht="14.25" customHeight="1" x14ac:dyDescent="0.3">
      <c r="B732" s="49"/>
    </row>
    <row r="733" spans="2:2" ht="14.25" customHeight="1" x14ac:dyDescent="0.3">
      <c r="B733" s="49"/>
    </row>
    <row r="734" spans="2:2" ht="14.25" customHeight="1" x14ac:dyDescent="0.3">
      <c r="B734" s="49"/>
    </row>
    <row r="735" spans="2:2" ht="14.25" customHeight="1" x14ac:dyDescent="0.3">
      <c r="B735" s="49"/>
    </row>
    <row r="736" spans="2:2" ht="14.25" customHeight="1" x14ac:dyDescent="0.3">
      <c r="B736" s="49"/>
    </row>
    <row r="737" spans="2:2" ht="14.25" customHeight="1" x14ac:dyDescent="0.3">
      <c r="B737" s="49"/>
    </row>
    <row r="738" spans="2:2" ht="14.25" customHeight="1" x14ac:dyDescent="0.3">
      <c r="B738" s="49"/>
    </row>
    <row r="739" spans="2:2" ht="14.25" customHeight="1" x14ac:dyDescent="0.3">
      <c r="B739" s="49"/>
    </row>
    <row r="740" spans="2:2" ht="14.25" customHeight="1" x14ac:dyDescent="0.3">
      <c r="B740" s="49"/>
    </row>
    <row r="741" spans="2:2" ht="14.25" customHeight="1" x14ac:dyDescent="0.3">
      <c r="B741" s="49"/>
    </row>
    <row r="742" spans="2:2" ht="14.25" customHeight="1" x14ac:dyDescent="0.3">
      <c r="B742" s="49"/>
    </row>
    <row r="743" spans="2:2" ht="14.25" customHeight="1" x14ac:dyDescent="0.3">
      <c r="B743" s="49"/>
    </row>
    <row r="744" spans="2:2" ht="14.25" customHeight="1" x14ac:dyDescent="0.3">
      <c r="B744" s="49"/>
    </row>
    <row r="745" spans="2:2" ht="14.25" customHeight="1" x14ac:dyDescent="0.3">
      <c r="B745" s="49"/>
    </row>
    <row r="746" spans="2:2" ht="14.25" customHeight="1" x14ac:dyDescent="0.3">
      <c r="B746" s="49"/>
    </row>
    <row r="747" spans="2:2" ht="14.25" customHeight="1" x14ac:dyDescent="0.3">
      <c r="B747" s="49"/>
    </row>
    <row r="748" spans="2:2" ht="14.25" customHeight="1" x14ac:dyDescent="0.3">
      <c r="B748" s="49"/>
    </row>
    <row r="749" spans="2:2" ht="14.25" customHeight="1" x14ac:dyDescent="0.3">
      <c r="B749" s="49"/>
    </row>
    <row r="750" spans="2:2" ht="14.25" customHeight="1" x14ac:dyDescent="0.3">
      <c r="B750" s="49"/>
    </row>
    <row r="751" spans="2:2" ht="14.25" customHeight="1" x14ac:dyDescent="0.3">
      <c r="B751" s="49"/>
    </row>
    <row r="752" spans="2:2" ht="14.25" customHeight="1" x14ac:dyDescent="0.3">
      <c r="B752" s="49"/>
    </row>
    <row r="753" spans="2:2" ht="14.25" customHeight="1" x14ac:dyDescent="0.3">
      <c r="B753" s="49"/>
    </row>
    <row r="754" spans="2:2" ht="14.25" customHeight="1" x14ac:dyDescent="0.3">
      <c r="B754" s="49"/>
    </row>
    <row r="755" spans="2:2" ht="14.25" customHeight="1" x14ac:dyDescent="0.3">
      <c r="B755" s="49"/>
    </row>
    <row r="756" spans="2:2" ht="14.25" customHeight="1" x14ac:dyDescent="0.3">
      <c r="B756" s="49"/>
    </row>
    <row r="757" spans="2:2" ht="14.25" customHeight="1" x14ac:dyDescent="0.3">
      <c r="B757" s="49"/>
    </row>
    <row r="758" spans="2:2" ht="14.25" customHeight="1" x14ac:dyDescent="0.3">
      <c r="B758" s="49"/>
    </row>
    <row r="759" spans="2:2" ht="14.25" customHeight="1" x14ac:dyDescent="0.3">
      <c r="B759" s="49"/>
    </row>
    <row r="760" spans="2:2" ht="14.25" customHeight="1" x14ac:dyDescent="0.3">
      <c r="B760" s="49"/>
    </row>
    <row r="761" spans="2:2" ht="14.25" customHeight="1" x14ac:dyDescent="0.3">
      <c r="B761" s="49"/>
    </row>
    <row r="762" spans="2:2" ht="14.25" customHeight="1" x14ac:dyDescent="0.3">
      <c r="B762" s="49"/>
    </row>
    <row r="763" spans="2:2" ht="14.25" customHeight="1" x14ac:dyDescent="0.3">
      <c r="B763" s="49"/>
    </row>
    <row r="764" spans="2:2" ht="14.25" customHeight="1" x14ac:dyDescent="0.3">
      <c r="B764" s="49"/>
    </row>
    <row r="765" spans="2:2" ht="14.25" customHeight="1" x14ac:dyDescent="0.3">
      <c r="B765" s="49"/>
    </row>
    <row r="766" spans="2:2" ht="14.25" customHeight="1" x14ac:dyDescent="0.3">
      <c r="B766" s="49"/>
    </row>
    <row r="767" spans="2:2" ht="14.25" customHeight="1" x14ac:dyDescent="0.3">
      <c r="B767" s="49"/>
    </row>
    <row r="768" spans="2:2" ht="14.25" customHeight="1" x14ac:dyDescent="0.3">
      <c r="B768" s="49"/>
    </row>
    <row r="769" spans="2:2" ht="14.25" customHeight="1" x14ac:dyDescent="0.3">
      <c r="B769" s="49"/>
    </row>
    <row r="770" spans="2:2" ht="14.25" customHeight="1" x14ac:dyDescent="0.3">
      <c r="B770" s="49"/>
    </row>
    <row r="771" spans="2:2" ht="14.25" customHeight="1" x14ac:dyDescent="0.3">
      <c r="B771" s="49"/>
    </row>
    <row r="772" spans="2:2" ht="14.25" customHeight="1" x14ac:dyDescent="0.3">
      <c r="B772" s="49"/>
    </row>
    <row r="773" spans="2:2" ht="14.25" customHeight="1" x14ac:dyDescent="0.3">
      <c r="B773" s="49"/>
    </row>
    <row r="774" spans="2:2" ht="14.25" customHeight="1" x14ac:dyDescent="0.3">
      <c r="B774" s="49"/>
    </row>
    <row r="775" spans="2:2" ht="14.25" customHeight="1" x14ac:dyDescent="0.3">
      <c r="B775" s="49"/>
    </row>
    <row r="776" spans="2:2" ht="14.25" customHeight="1" x14ac:dyDescent="0.3">
      <c r="B776" s="49"/>
    </row>
    <row r="777" spans="2:2" ht="14.25" customHeight="1" x14ac:dyDescent="0.3">
      <c r="B777" s="49"/>
    </row>
    <row r="778" spans="2:2" ht="14.25" customHeight="1" x14ac:dyDescent="0.3">
      <c r="B778" s="49"/>
    </row>
    <row r="779" spans="2:2" ht="14.25" customHeight="1" x14ac:dyDescent="0.3">
      <c r="B779" s="49"/>
    </row>
    <row r="780" spans="2:2" ht="14.25" customHeight="1" x14ac:dyDescent="0.3">
      <c r="B780" s="49"/>
    </row>
    <row r="781" spans="2:2" ht="14.25" customHeight="1" x14ac:dyDescent="0.3">
      <c r="B781" s="49"/>
    </row>
    <row r="782" spans="2:2" ht="14.25" customHeight="1" x14ac:dyDescent="0.3">
      <c r="B782" s="49"/>
    </row>
    <row r="783" spans="2:2" ht="14.25" customHeight="1" x14ac:dyDescent="0.3">
      <c r="B783" s="49"/>
    </row>
    <row r="784" spans="2:2" ht="14.25" customHeight="1" x14ac:dyDescent="0.3">
      <c r="B784" s="49"/>
    </row>
    <row r="785" spans="2:2" ht="14.25" customHeight="1" x14ac:dyDescent="0.3">
      <c r="B785" s="49"/>
    </row>
    <row r="786" spans="2:2" ht="14.25" customHeight="1" x14ac:dyDescent="0.3">
      <c r="B786" s="49"/>
    </row>
    <row r="787" spans="2:2" ht="14.25" customHeight="1" x14ac:dyDescent="0.3">
      <c r="B787" s="49"/>
    </row>
    <row r="788" spans="2:2" ht="14.25" customHeight="1" x14ac:dyDescent="0.3">
      <c r="B788" s="49"/>
    </row>
    <row r="789" spans="2:2" ht="14.25" customHeight="1" x14ac:dyDescent="0.3">
      <c r="B789" s="49"/>
    </row>
    <row r="790" spans="2:2" ht="14.25" customHeight="1" x14ac:dyDescent="0.3">
      <c r="B790" s="49"/>
    </row>
    <row r="791" spans="2:2" ht="14.25" customHeight="1" x14ac:dyDescent="0.3">
      <c r="B791" s="49"/>
    </row>
    <row r="792" spans="2:2" ht="14.25" customHeight="1" x14ac:dyDescent="0.3">
      <c r="B792" s="49"/>
    </row>
    <row r="793" spans="2:2" ht="14.25" customHeight="1" x14ac:dyDescent="0.3">
      <c r="B793" s="49"/>
    </row>
    <row r="794" spans="2:2" ht="14.25" customHeight="1" x14ac:dyDescent="0.3">
      <c r="B794" s="49"/>
    </row>
    <row r="795" spans="2:2" ht="14.25" customHeight="1" x14ac:dyDescent="0.3">
      <c r="B795" s="49"/>
    </row>
    <row r="796" spans="2:2" ht="14.25" customHeight="1" x14ac:dyDescent="0.3">
      <c r="B796" s="49"/>
    </row>
    <row r="797" spans="2:2" ht="14.25" customHeight="1" x14ac:dyDescent="0.3">
      <c r="B797" s="49"/>
    </row>
    <row r="798" spans="2:2" ht="14.25" customHeight="1" x14ac:dyDescent="0.3">
      <c r="B798" s="49"/>
    </row>
    <row r="799" spans="2:2" ht="14.25" customHeight="1" x14ac:dyDescent="0.3">
      <c r="B799" s="49"/>
    </row>
    <row r="800" spans="2:2" ht="14.25" customHeight="1" x14ac:dyDescent="0.3">
      <c r="B800" s="49"/>
    </row>
    <row r="801" spans="2:2" ht="14.25" customHeight="1" x14ac:dyDescent="0.3">
      <c r="B801" s="49"/>
    </row>
    <row r="802" spans="2:2" ht="14.25" customHeight="1" x14ac:dyDescent="0.3">
      <c r="B802" s="49"/>
    </row>
    <row r="803" spans="2:2" ht="14.25" customHeight="1" x14ac:dyDescent="0.3">
      <c r="B803" s="49"/>
    </row>
    <row r="804" spans="2:2" ht="14.25" customHeight="1" x14ac:dyDescent="0.3">
      <c r="B804" s="49"/>
    </row>
    <row r="805" spans="2:2" ht="14.25" customHeight="1" x14ac:dyDescent="0.3">
      <c r="B805" s="49"/>
    </row>
    <row r="806" spans="2:2" ht="14.25" customHeight="1" x14ac:dyDescent="0.3">
      <c r="B806" s="49"/>
    </row>
    <row r="807" spans="2:2" ht="14.25" customHeight="1" x14ac:dyDescent="0.3">
      <c r="B807" s="49"/>
    </row>
    <row r="808" spans="2:2" ht="14.25" customHeight="1" x14ac:dyDescent="0.3">
      <c r="B808" s="49"/>
    </row>
    <row r="809" spans="2:2" ht="14.25" customHeight="1" x14ac:dyDescent="0.3">
      <c r="B809" s="49"/>
    </row>
    <row r="810" spans="2:2" ht="14.25" customHeight="1" x14ac:dyDescent="0.3">
      <c r="B810" s="49"/>
    </row>
    <row r="811" spans="2:2" ht="14.25" customHeight="1" x14ac:dyDescent="0.3">
      <c r="B811" s="49"/>
    </row>
    <row r="812" spans="2:2" ht="14.25" customHeight="1" x14ac:dyDescent="0.3">
      <c r="B812" s="49"/>
    </row>
    <row r="813" spans="2:2" ht="14.25" customHeight="1" x14ac:dyDescent="0.3">
      <c r="B813" s="49"/>
    </row>
    <row r="814" spans="2:2" ht="14.25" customHeight="1" x14ac:dyDescent="0.3">
      <c r="B814" s="49"/>
    </row>
    <row r="815" spans="2:2" ht="14.25" customHeight="1" x14ac:dyDescent="0.3">
      <c r="B815" s="49"/>
    </row>
    <row r="816" spans="2:2" ht="14.25" customHeight="1" x14ac:dyDescent="0.3">
      <c r="B816" s="49"/>
    </row>
    <row r="817" spans="2:2" ht="14.25" customHeight="1" x14ac:dyDescent="0.3">
      <c r="B817" s="49"/>
    </row>
    <row r="818" spans="2:2" ht="14.25" customHeight="1" x14ac:dyDescent="0.3">
      <c r="B818" s="49"/>
    </row>
    <row r="819" spans="2:2" ht="14.25" customHeight="1" x14ac:dyDescent="0.3">
      <c r="B819" s="49"/>
    </row>
    <row r="820" spans="2:2" ht="14.25" customHeight="1" x14ac:dyDescent="0.3">
      <c r="B820" s="49"/>
    </row>
    <row r="821" spans="2:2" ht="14.25" customHeight="1" x14ac:dyDescent="0.3">
      <c r="B821" s="49"/>
    </row>
    <row r="822" spans="2:2" ht="14.25" customHeight="1" x14ac:dyDescent="0.3">
      <c r="B822" s="49"/>
    </row>
    <row r="823" spans="2:2" ht="14.25" customHeight="1" x14ac:dyDescent="0.3">
      <c r="B823" s="49"/>
    </row>
    <row r="824" spans="2:2" ht="14.25" customHeight="1" x14ac:dyDescent="0.3">
      <c r="B824" s="49"/>
    </row>
    <row r="825" spans="2:2" ht="14.25" customHeight="1" x14ac:dyDescent="0.3">
      <c r="B825" s="49"/>
    </row>
    <row r="826" spans="2:2" ht="14.25" customHeight="1" x14ac:dyDescent="0.3">
      <c r="B826" s="49"/>
    </row>
    <row r="827" spans="2:2" ht="14.25" customHeight="1" x14ac:dyDescent="0.3">
      <c r="B827" s="49"/>
    </row>
    <row r="828" spans="2:2" ht="14.25" customHeight="1" x14ac:dyDescent="0.3">
      <c r="B828" s="49"/>
    </row>
    <row r="829" spans="2:2" ht="14.25" customHeight="1" x14ac:dyDescent="0.3">
      <c r="B829" s="49"/>
    </row>
    <row r="830" spans="2:2" ht="14.25" customHeight="1" x14ac:dyDescent="0.3">
      <c r="B830" s="49"/>
    </row>
    <row r="831" spans="2:2" ht="14.25" customHeight="1" x14ac:dyDescent="0.3">
      <c r="B831" s="49"/>
    </row>
    <row r="832" spans="2:2" ht="14.25" customHeight="1" x14ac:dyDescent="0.3">
      <c r="B832" s="49"/>
    </row>
    <row r="833" spans="2:2" ht="14.25" customHeight="1" x14ac:dyDescent="0.3">
      <c r="B833" s="49"/>
    </row>
    <row r="834" spans="2:2" ht="14.25" customHeight="1" x14ac:dyDescent="0.3">
      <c r="B834" s="49"/>
    </row>
    <row r="835" spans="2:2" ht="14.25" customHeight="1" x14ac:dyDescent="0.3">
      <c r="B835" s="49"/>
    </row>
    <row r="836" spans="2:2" ht="14.25" customHeight="1" x14ac:dyDescent="0.3">
      <c r="B836" s="49"/>
    </row>
    <row r="837" spans="2:2" ht="14.25" customHeight="1" x14ac:dyDescent="0.3">
      <c r="B837" s="49"/>
    </row>
    <row r="838" spans="2:2" ht="14.25" customHeight="1" x14ac:dyDescent="0.3">
      <c r="B838" s="49"/>
    </row>
    <row r="839" spans="2:2" ht="14.25" customHeight="1" x14ac:dyDescent="0.3">
      <c r="B839" s="49"/>
    </row>
    <row r="840" spans="2:2" ht="14.25" customHeight="1" x14ac:dyDescent="0.3">
      <c r="B840" s="49"/>
    </row>
    <row r="841" spans="2:2" ht="14.25" customHeight="1" x14ac:dyDescent="0.3">
      <c r="B841" s="49"/>
    </row>
    <row r="842" spans="2:2" ht="14.25" customHeight="1" x14ac:dyDescent="0.3">
      <c r="B842" s="49"/>
    </row>
    <row r="843" spans="2:2" ht="14.25" customHeight="1" x14ac:dyDescent="0.3">
      <c r="B843" s="49"/>
    </row>
    <row r="844" spans="2:2" ht="14.25" customHeight="1" x14ac:dyDescent="0.3">
      <c r="B844" s="49"/>
    </row>
    <row r="845" spans="2:2" ht="14.25" customHeight="1" x14ac:dyDescent="0.3">
      <c r="B845" s="49"/>
    </row>
    <row r="846" spans="2:2" ht="14.25" customHeight="1" x14ac:dyDescent="0.3">
      <c r="B846" s="49"/>
    </row>
    <row r="847" spans="2:2" ht="14.25" customHeight="1" x14ac:dyDescent="0.3">
      <c r="B847" s="49"/>
    </row>
    <row r="848" spans="2:2" ht="14.25" customHeight="1" x14ac:dyDescent="0.3">
      <c r="B848" s="49"/>
    </row>
    <row r="849" spans="2:2" ht="14.25" customHeight="1" x14ac:dyDescent="0.3">
      <c r="B849" s="49"/>
    </row>
    <row r="850" spans="2:2" ht="14.25" customHeight="1" x14ac:dyDescent="0.3">
      <c r="B850" s="49"/>
    </row>
    <row r="851" spans="2:2" ht="14.25" customHeight="1" x14ac:dyDescent="0.3">
      <c r="B851" s="49"/>
    </row>
    <row r="852" spans="2:2" ht="14.25" customHeight="1" x14ac:dyDescent="0.3">
      <c r="B852" s="49"/>
    </row>
    <row r="853" spans="2:2" ht="14.25" customHeight="1" x14ac:dyDescent="0.3">
      <c r="B853" s="49"/>
    </row>
    <row r="854" spans="2:2" ht="14.25" customHeight="1" x14ac:dyDescent="0.3">
      <c r="B854" s="49"/>
    </row>
    <row r="855" spans="2:2" ht="14.25" customHeight="1" x14ac:dyDescent="0.3">
      <c r="B855" s="49"/>
    </row>
    <row r="856" spans="2:2" ht="14.25" customHeight="1" x14ac:dyDescent="0.3">
      <c r="B856" s="49"/>
    </row>
    <row r="857" spans="2:2" ht="14.25" customHeight="1" x14ac:dyDescent="0.3">
      <c r="B857" s="49"/>
    </row>
    <row r="858" spans="2:2" ht="14.25" customHeight="1" x14ac:dyDescent="0.3">
      <c r="B858" s="49"/>
    </row>
    <row r="859" spans="2:2" ht="14.25" customHeight="1" x14ac:dyDescent="0.3">
      <c r="B859" s="49"/>
    </row>
    <row r="860" spans="2:2" ht="14.25" customHeight="1" x14ac:dyDescent="0.3">
      <c r="B860" s="49"/>
    </row>
    <row r="861" spans="2:2" ht="14.25" customHeight="1" x14ac:dyDescent="0.3">
      <c r="B861" s="49"/>
    </row>
    <row r="862" spans="2:2" ht="14.25" customHeight="1" x14ac:dyDescent="0.3">
      <c r="B862" s="49"/>
    </row>
    <row r="863" spans="2:2" ht="14.25" customHeight="1" x14ac:dyDescent="0.3">
      <c r="B863" s="49"/>
    </row>
    <row r="864" spans="2:2" ht="14.25" customHeight="1" x14ac:dyDescent="0.3">
      <c r="B864" s="49"/>
    </row>
    <row r="865" spans="2:2" ht="14.25" customHeight="1" x14ac:dyDescent="0.3">
      <c r="B865" s="49"/>
    </row>
    <row r="866" spans="2:2" ht="14.25" customHeight="1" x14ac:dyDescent="0.3">
      <c r="B866" s="49"/>
    </row>
    <row r="867" spans="2:2" ht="14.25" customHeight="1" x14ac:dyDescent="0.3">
      <c r="B867" s="49"/>
    </row>
    <row r="868" spans="2:2" ht="14.25" customHeight="1" x14ac:dyDescent="0.3">
      <c r="B868" s="49"/>
    </row>
    <row r="869" spans="2:2" ht="14.25" customHeight="1" x14ac:dyDescent="0.3">
      <c r="B869" s="49"/>
    </row>
    <row r="870" spans="2:2" ht="14.25" customHeight="1" x14ac:dyDescent="0.3">
      <c r="B870" s="49"/>
    </row>
    <row r="871" spans="2:2" ht="14.25" customHeight="1" x14ac:dyDescent="0.3">
      <c r="B871" s="49"/>
    </row>
    <row r="872" spans="2:2" ht="14.25" customHeight="1" x14ac:dyDescent="0.3">
      <c r="B872" s="49"/>
    </row>
    <row r="873" spans="2:2" ht="14.25" customHeight="1" x14ac:dyDescent="0.3">
      <c r="B873" s="49"/>
    </row>
    <row r="874" spans="2:2" ht="14.25" customHeight="1" x14ac:dyDescent="0.3">
      <c r="B874" s="49"/>
    </row>
    <row r="875" spans="2:2" ht="14.25" customHeight="1" x14ac:dyDescent="0.3">
      <c r="B875" s="49"/>
    </row>
    <row r="876" spans="2:2" ht="14.25" customHeight="1" x14ac:dyDescent="0.3">
      <c r="B876" s="49"/>
    </row>
    <row r="877" spans="2:2" ht="14.25" customHeight="1" x14ac:dyDescent="0.3">
      <c r="B877" s="49"/>
    </row>
    <row r="878" spans="2:2" ht="14.25" customHeight="1" x14ac:dyDescent="0.3">
      <c r="B878" s="49"/>
    </row>
    <row r="879" spans="2:2" ht="14.25" customHeight="1" x14ac:dyDescent="0.3">
      <c r="B879" s="49"/>
    </row>
    <row r="880" spans="2:2" ht="14.25" customHeight="1" x14ac:dyDescent="0.3">
      <c r="B880" s="49"/>
    </row>
    <row r="881" spans="2:2" ht="14.25" customHeight="1" x14ac:dyDescent="0.3">
      <c r="B881" s="49"/>
    </row>
    <row r="882" spans="2:2" ht="14.25" customHeight="1" x14ac:dyDescent="0.3">
      <c r="B882" s="49"/>
    </row>
    <row r="883" spans="2:2" ht="14.25" customHeight="1" x14ac:dyDescent="0.3">
      <c r="B883" s="49"/>
    </row>
    <row r="884" spans="2:2" ht="14.25" customHeight="1" x14ac:dyDescent="0.3">
      <c r="B884" s="49"/>
    </row>
    <row r="885" spans="2:2" ht="14.25" customHeight="1" x14ac:dyDescent="0.3">
      <c r="B885" s="49"/>
    </row>
    <row r="886" spans="2:2" ht="14.25" customHeight="1" x14ac:dyDescent="0.3">
      <c r="B886" s="49"/>
    </row>
    <row r="887" spans="2:2" ht="14.25" customHeight="1" x14ac:dyDescent="0.3">
      <c r="B887" s="49"/>
    </row>
    <row r="888" spans="2:2" ht="14.25" customHeight="1" x14ac:dyDescent="0.3">
      <c r="B888" s="49"/>
    </row>
    <row r="889" spans="2:2" ht="14.25" customHeight="1" x14ac:dyDescent="0.3">
      <c r="B889" s="49"/>
    </row>
    <row r="890" spans="2:2" ht="14.25" customHeight="1" x14ac:dyDescent="0.3">
      <c r="B890" s="49"/>
    </row>
    <row r="891" spans="2:2" ht="14.25" customHeight="1" x14ac:dyDescent="0.3">
      <c r="B891" s="49"/>
    </row>
    <row r="892" spans="2:2" ht="14.25" customHeight="1" x14ac:dyDescent="0.3">
      <c r="B892" s="49"/>
    </row>
    <row r="893" spans="2:2" ht="14.25" customHeight="1" x14ac:dyDescent="0.3">
      <c r="B893" s="49"/>
    </row>
    <row r="894" spans="2:2" ht="14.25" customHeight="1" x14ac:dyDescent="0.3">
      <c r="B894" s="49"/>
    </row>
    <row r="895" spans="2:2" ht="14.25" customHeight="1" x14ac:dyDescent="0.3">
      <c r="B895" s="49"/>
    </row>
    <row r="896" spans="2:2" ht="14.25" customHeight="1" x14ac:dyDescent="0.3">
      <c r="B896" s="49"/>
    </row>
    <row r="897" spans="2:2" ht="14.25" customHeight="1" x14ac:dyDescent="0.3">
      <c r="B897" s="49"/>
    </row>
    <row r="898" spans="2:2" ht="14.25" customHeight="1" x14ac:dyDescent="0.3">
      <c r="B898" s="49"/>
    </row>
    <row r="899" spans="2:2" ht="14.25" customHeight="1" x14ac:dyDescent="0.3">
      <c r="B899" s="49"/>
    </row>
    <row r="900" spans="2:2" ht="14.25" customHeight="1" x14ac:dyDescent="0.3">
      <c r="B900" s="49"/>
    </row>
    <row r="901" spans="2:2" ht="14.25" customHeight="1" x14ac:dyDescent="0.3">
      <c r="B901" s="49"/>
    </row>
    <row r="902" spans="2:2" ht="14.25" customHeight="1" x14ac:dyDescent="0.3">
      <c r="B902" s="49"/>
    </row>
    <row r="903" spans="2:2" ht="14.25" customHeight="1" x14ac:dyDescent="0.3">
      <c r="B903" s="49"/>
    </row>
    <row r="904" spans="2:2" ht="14.25" customHeight="1" x14ac:dyDescent="0.3">
      <c r="B904" s="49"/>
    </row>
    <row r="905" spans="2:2" ht="14.25" customHeight="1" x14ac:dyDescent="0.3">
      <c r="B905" s="49"/>
    </row>
    <row r="906" spans="2:2" ht="14.25" customHeight="1" x14ac:dyDescent="0.3">
      <c r="B906" s="49"/>
    </row>
    <row r="907" spans="2:2" ht="14.25" customHeight="1" x14ac:dyDescent="0.3">
      <c r="B907" s="49"/>
    </row>
    <row r="908" spans="2:2" ht="14.25" customHeight="1" x14ac:dyDescent="0.3">
      <c r="B908" s="49"/>
    </row>
    <row r="909" spans="2:2" ht="14.25" customHeight="1" x14ac:dyDescent="0.3">
      <c r="B909" s="49"/>
    </row>
    <row r="910" spans="2:2" ht="14.25" customHeight="1" x14ac:dyDescent="0.3">
      <c r="B910" s="49"/>
    </row>
    <row r="911" spans="2:2" ht="14.25" customHeight="1" x14ac:dyDescent="0.3">
      <c r="B911" s="49"/>
    </row>
    <row r="912" spans="2:2" ht="14.25" customHeight="1" x14ac:dyDescent="0.3">
      <c r="B912" s="49"/>
    </row>
    <row r="913" spans="2:2" ht="14.25" customHeight="1" x14ac:dyDescent="0.3">
      <c r="B913" s="49"/>
    </row>
    <row r="914" spans="2:2" ht="14.25" customHeight="1" x14ac:dyDescent="0.3">
      <c r="B914" s="49"/>
    </row>
    <row r="915" spans="2:2" ht="14.25" customHeight="1" x14ac:dyDescent="0.3">
      <c r="B915" s="49"/>
    </row>
    <row r="916" spans="2:2" ht="14.25" customHeight="1" x14ac:dyDescent="0.3">
      <c r="B916" s="49"/>
    </row>
    <row r="917" spans="2:2" ht="14.25" customHeight="1" x14ac:dyDescent="0.3">
      <c r="B917" s="49"/>
    </row>
    <row r="918" spans="2:2" ht="14.25" customHeight="1" x14ac:dyDescent="0.3">
      <c r="B918" s="49"/>
    </row>
    <row r="919" spans="2:2" ht="14.25" customHeight="1" x14ac:dyDescent="0.3">
      <c r="B919" s="49"/>
    </row>
    <row r="920" spans="2:2" ht="14.25" customHeight="1" x14ac:dyDescent="0.3">
      <c r="B920" s="49"/>
    </row>
    <row r="921" spans="2:2" ht="14.25" customHeight="1" x14ac:dyDescent="0.3">
      <c r="B921" s="49"/>
    </row>
    <row r="922" spans="2:2" ht="14.25" customHeight="1" x14ac:dyDescent="0.3">
      <c r="B922" s="49"/>
    </row>
    <row r="923" spans="2:2" ht="14.25" customHeight="1" x14ac:dyDescent="0.3">
      <c r="B923" s="49"/>
    </row>
    <row r="924" spans="2:2" ht="14.25" customHeight="1" x14ac:dyDescent="0.3">
      <c r="B924" s="49"/>
    </row>
    <row r="925" spans="2:2" ht="14.25" customHeight="1" x14ac:dyDescent="0.3">
      <c r="B925" s="49"/>
    </row>
    <row r="926" spans="2:2" ht="14.25" customHeight="1" x14ac:dyDescent="0.3">
      <c r="B926" s="49"/>
    </row>
    <row r="927" spans="2:2" ht="14.25" customHeight="1" x14ac:dyDescent="0.3">
      <c r="B927" s="49"/>
    </row>
    <row r="928" spans="2:2" ht="14.25" customHeight="1" x14ac:dyDescent="0.3">
      <c r="B928" s="49"/>
    </row>
    <row r="929" spans="2:2" ht="14.25" customHeight="1" x14ac:dyDescent="0.3">
      <c r="B929" s="49"/>
    </row>
    <row r="930" spans="2:2" ht="14.25" customHeight="1" x14ac:dyDescent="0.3">
      <c r="B930" s="49"/>
    </row>
    <row r="931" spans="2:2" ht="14.25" customHeight="1" x14ac:dyDescent="0.3">
      <c r="B931" s="49"/>
    </row>
    <row r="932" spans="2:2" ht="14.25" customHeight="1" x14ac:dyDescent="0.3">
      <c r="B932" s="49"/>
    </row>
    <row r="933" spans="2:2" ht="14.25" customHeight="1" x14ac:dyDescent="0.3">
      <c r="B933" s="49"/>
    </row>
    <row r="934" spans="2:2" ht="14.25" customHeight="1" x14ac:dyDescent="0.3">
      <c r="B934" s="49"/>
    </row>
    <row r="935" spans="2:2" ht="14.25" customHeight="1" x14ac:dyDescent="0.3">
      <c r="B935" s="49"/>
    </row>
    <row r="936" spans="2:2" ht="14.25" customHeight="1" x14ac:dyDescent="0.3">
      <c r="B936" s="49"/>
    </row>
    <row r="937" spans="2:2" ht="14.25" customHeight="1" x14ac:dyDescent="0.3">
      <c r="B937" s="49"/>
    </row>
    <row r="938" spans="2:2" ht="14.25" customHeight="1" x14ac:dyDescent="0.3">
      <c r="B938" s="49"/>
    </row>
    <row r="939" spans="2:2" ht="14.25" customHeight="1" x14ac:dyDescent="0.3">
      <c r="B939" s="49"/>
    </row>
    <row r="940" spans="2:2" ht="14.25" customHeight="1" x14ac:dyDescent="0.3">
      <c r="B940" s="49"/>
    </row>
    <row r="941" spans="2:2" ht="14.25" customHeight="1" x14ac:dyDescent="0.3">
      <c r="B941" s="49"/>
    </row>
    <row r="942" spans="2:2" ht="14.25" customHeight="1" x14ac:dyDescent="0.3">
      <c r="B942" s="49"/>
    </row>
    <row r="943" spans="2:2" ht="14.25" customHeight="1" x14ac:dyDescent="0.3">
      <c r="B943" s="49"/>
    </row>
    <row r="944" spans="2:2" ht="14.25" customHeight="1" x14ac:dyDescent="0.3">
      <c r="B944" s="49"/>
    </row>
    <row r="945" spans="2:2" ht="14.25" customHeight="1" x14ac:dyDescent="0.3">
      <c r="B945" s="49"/>
    </row>
    <row r="946" spans="2:2" ht="14.25" customHeight="1" x14ac:dyDescent="0.3">
      <c r="B946" s="49"/>
    </row>
    <row r="947" spans="2:2" ht="14.25" customHeight="1" x14ac:dyDescent="0.3">
      <c r="B947" s="49"/>
    </row>
    <row r="948" spans="2:2" ht="14.25" customHeight="1" x14ac:dyDescent="0.3">
      <c r="B948" s="49"/>
    </row>
    <row r="949" spans="2:2" ht="14.25" customHeight="1" x14ac:dyDescent="0.3">
      <c r="B949" s="49"/>
    </row>
    <row r="950" spans="2:2" ht="14.25" customHeight="1" x14ac:dyDescent="0.3">
      <c r="B950" s="49"/>
    </row>
    <row r="951" spans="2:2" ht="14.25" customHeight="1" x14ac:dyDescent="0.3">
      <c r="B951" s="49"/>
    </row>
    <row r="952" spans="2:2" ht="14.25" customHeight="1" x14ac:dyDescent="0.3">
      <c r="B952" s="49"/>
    </row>
    <row r="953" spans="2:2" ht="14.25" customHeight="1" x14ac:dyDescent="0.3">
      <c r="B953" s="49"/>
    </row>
    <row r="954" spans="2:2" ht="14.25" customHeight="1" x14ac:dyDescent="0.3">
      <c r="B954" s="49"/>
    </row>
    <row r="955" spans="2:2" ht="14.25" customHeight="1" x14ac:dyDescent="0.3">
      <c r="B955" s="49"/>
    </row>
    <row r="956" spans="2:2" ht="14.25" customHeight="1" x14ac:dyDescent="0.3">
      <c r="B956" s="49"/>
    </row>
    <row r="957" spans="2:2" ht="14.25" customHeight="1" x14ac:dyDescent="0.3">
      <c r="B957" s="49"/>
    </row>
    <row r="958" spans="2:2" ht="14.25" customHeight="1" x14ac:dyDescent="0.3">
      <c r="B958" s="49"/>
    </row>
    <row r="959" spans="2:2" ht="14.25" customHeight="1" x14ac:dyDescent="0.3">
      <c r="B959" s="49"/>
    </row>
    <row r="960" spans="2:2" ht="14.25" customHeight="1" x14ac:dyDescent="0.3">
      <c r="B960" s="49"/>
    </row>
    <row r="961" spans="2:2" ht="14.25" customHeight="1" x14ac:dyDescent="0.3">
      <c r="B961" s="49"/>
    </row>
    <row r="962" spans="2:2" ht="14.25" customHeight="1" x14ac:dyDescent="0.3">
      <c r="B962" s="49"/>
    </row>
    <row r="963" spans="2:2" ht="14.25" customHeight="1" x14ac:dyDescent="0.3">
      <c r="B963" s="49"/>
    </row>
    <row r="964" spans="2:2" ht="14.25" customHeight="1" x14ac:dyDescent="0.3">
      <c r="B964" s="49"/>
    </row>
    <row r="965" spans="2:2" ht="14.25" customHeight="1" x14ac:dyDescent="0.3">
      <c r="B965" s="49"/>
    </row>
    <row r="966" spans="2:2" ht="14.25" customHeight="1" x14ac:dyDescent="0.3">
      <c r="B966" s="49"/>
    </row>
    <row r="967" spans="2:2" ht="14.25" customHeight="1" x14ac:dyDescent="0.3">
      <c r="B967" s="49"/>
    </row>
    <row r="968" spans="2:2" ht="14.25" customHeight="1" x14ac:dyDescent="0.3">
      <c r="B968" s="49"/>
    </row>
    <row r="969" spans="2:2" ht="14.25" customHeight="1" x14ac:dyDescent="0.3">
      <c r="B969" s="49"/>
    </row>
    <row r="970" spans="2:2" ht="14.25" customHeight="1" x14ac:dyDescent="0.3">
      <c r="B970" s="49"/>
    </row>
    <row r="971" spans="2:2" ht="14.25" customHeight="1" x14ac:dyDescent="0.3">
      <c r="B971" s="49"/>
    </row>
    <row r="972" spans="2:2" ht="14.25" customHeight="1" x14ac:dyDescent="0.3">
      <c r="B972" s="49"/>
    </row>
    <row r="973" spans="2:2" ht="14.25" customHeight="1" x14ac:dyDescent="0.3">
      <c r="B973" s="49"/>
    </row>
    <row r="974" spans="2:2" ht="14.25" customHeight="1" x14ac:dyDescent="0.3">
      <c r="B974" s="49"/>
    </row>
    <row r="975" spans="2:2" ht="14.25" customHeight="1" x14ac:dyDescent="0.3">
      <c r="B975" s="49"/>
    </row>
    <row r="976" spans="2:2" ht="14.25" customHeight="1" x14ac:dyDescent="0.3">
      <c r="B976" s="49"/>
    </row>
    <row r="977" spans="2:2" ht="14.25" customHeight="1" x14ac:dyDescent="0.3">
      <c r="B977" s="49"/>
    </row>
    <row r="978" spans="2:2" ht="14.25" customHeight="1" x14ac:dyDescent="0.3">
      <c r="B978" s="49"/>
    </row>
    <row r="979" spans="2:2" ht="14.25" customHeight="1" x14ac:dyDescent="0.3">
      <c r="B979" s="49"/>
    </row>
    <row r="980" spans="2:2" ht="14.25" customHeight="1" x14ac:dyDescent="0.3">
      <c r="B980" s="49"/>
    </row>
    <row r="981" spans="2:2" ht="14.25" customHeight="1" x14ac:dyDescent="0.3">
      <c r="B981" s="49"/>
    </row>
    <row r="982" spans="2:2" ht="14.25" customHeight="1" x14ac:dyDescent="0.3">
      <c r="B982" s="49"/>
    </row>
    <row r="983" spans="2:2" ht="14.25" customHeight="1" x14ac:dyDescent="0.3">
      <c r="B983" s="49"/>
    </row>
    <row r="984" spans="2:2" ht="14.25" customHeight="1" x14ac:dyDescent="0.3">
      <c r="B984" s="49"/>
    </row>
    <row r="985" spans="2:2" ht="14.25" customHeight="1" x14ac:dyDescent="0.3">
      <c r="B985" s="49"/>
    </row>
    <row r="986" spans="2:2" ht="14.25" customHeight="1" x14ac:dyDescent="0.3">
      <c r="B986" s="49"/>
    </row>
    <row r="987" spans="2:2" ht="14.25" customHeight="1" x14ac:dyDescent="0.3">
      <c r="B987" s="49"/>
    </row>
    <row r="988" spans="2:2" ht="14.25" customHeight="1" x14ac:dyDescent="0.3">
      <c r="B988" s="49"/>
    </row>
    <row r="989" spans="2:2" ht="14.25" customHeight="1" x14ac:dyDescent="0.3">
      <c r="B989" s="49"/>
    </row>
    <row r="990" spans="2:2" ht="14.25" customHeight="1" x14ac:dyDescent="0.3">
      <c r="B990" s="49"/>
    </row>
    <row r="991" spans="2:2" ht="14.25" customHeight="1" x14ac:dyDescent="0.3">
      <c r="B991" s="49"/>
    </row>
    <row r="992" spans="2:2" ht="14.25" customHeight="1" x14ac:dyDescent="0.3">
      <c r="B992" s="49"/>
    </row>
    <row r="993" spans="2:2" ht="14.25" customHeight="1" x14ac:dyDescent="0.3">
      <c r="B993" s="49"/>
    </row>
    <row r="994" spans="2:2" ht="14.25" customHeight="1" x14ac:dyDescent="0.3">
      <c r="B994" s="49"/>
    </row>
    <row r="995" spans="2:2" ht="14.25" customHeight="1" x14ac:dyDescent="0.3">
      <c r="B995" s="49"/>
    </row>
    <row r="996" spans="2:2" ht="14.25" customHeight="1" x14ac:dyDescent="0.3">
      <c r="B996" s="49"/>
    </row>
    <row r="997" spans="2:2" ht="14.25" customHeight="1" x14ac:dyDescent="0.3">
      <c r="B997" s="49"/>
    </row>
    <row r="998" spans="2:2" ht="14.25" customHeight="1" x14ac:dyDescent="0.3">
      <c r="B998" s="49"/>
    </row>
    <row r="999" spans="2:2" ht="14.25" customHeight="1" x14ac:dyDescent="0.3">
      <c r="B999" s="49"/>
    </row>
    <row r="1000" spans="2:2" ht="14.25" customHeight="1" x14ac:dyDescent="0.3">
      <c r="B1000" s="49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>
      <selection activeCell="C17" sqref="A1:XFD1048576"/>
    </sheetView>
  </sheetViews>
  <sheetFormatPr defaultColWidth="14.44140625" defaultRowHeight="15" customHeight="1" x14ac:dyDescent="0.3"/>
  <cols>
    <col min="1" max="1" width="22.44140625" style="7" customWidth="1"/>
    <col min="2" max="11" width="20.5546875" style="7" customWidth="1"/>
    <col min="12" max="26" width="9" style="7" customWidth="1"/>
    <col min="27" max="16384" width="14.44140625" style="7"/>
  </cols>
  <sheetData>
    <row r="1" spans="1:11" ht="14.25" customHeight="1" x14ac:dyDescent="0.3"/>
    <row r="2" spans="1:11" ht="14.25" customHeight="1" x14ac:dyDescent="0.3">
      <c r="B2" s="60">
        <v>2021</v>
      </c>
      <c r="C2" s="60">
        <v>2022</v>
      </c>
      <c r="D2" s="60">
        <v>2023</v>
      </c>
      <c r="E2" s="60">
        <v>2024</v>
      </c>
      <c r="F2" s="60">
        <v>2025</v>
      </c>
      <c r="G2" s="60">
        <v>2026</v>
      </c>
      <c r="H2" s="60">
        <v>2027</v>
      </c>
      <c r="I2" s="60">
        <v>2028</v>
      </c>
      <c r="J2" s="60">
        <v>2029</v>
      </c>
      <c r="K2" s="60">
        <v>2030</v>
      </c>
    </row>
    <row r="3" spans="1:11" ht="14.25" customHeight="1" x14ac:dyDescent="0.3">
      <c r="A3" s="7" t="s">
        <v>17</v>
      </c>
      <c r="B3" s="35">
        <v>109283560320</v>
      </c>
      <c r="C3" s="35">
        <v>168031934532</v>
      </c>
      <c r="D3" s="35">
        <v>250499968602</v>
      </c>
      <c r="E3" s="35">
        <v>237839369526</v>
      </c>
      <c r="F3" s="35">
        <f>Forecasting!B10</f>
        <v>190796075404</v>
      </c>
      <c r="G3" s="35">
        <f>B8*F6</f>
        <v>286601756115.41504</v>
      </c>
      <c r="H3" s="35">
        <f t="shared" ref="H3:K3" si="0">$B$8*G6</f>
        <v>253423119185.3219</v>
      </c>
      <c r="I3" s="35">
        <f t="shared" si="0"/>
        <v>198850556583.82687</v>
      </c>
      <c r="J3" s="35">
        <f t="shared" si="0"/>
        <v>18815095299.222153</v>
      </c>
      <c r="K3" s="35">
        <f t="shared" si="0"/>
        <v>0</v>
      </c>
    </row>
    <row r="4" spans="1:11" ht="14.25" customHeight="1" x14ac:dyDescent="0.3">
      <c r="A4" s="7" t="s">
        <v>49</v>
      </c>
      <c r="B4" s="35">
        <v>748408238640</v>
      </c>
      <c r="C4" s="35">
        <v>835317024600</v>
      </c>
      <c r="D4" s="35">
        <v>553352813440</v>
      </c>
      <c r="E4" s="35">
        <v>507298751244</v>
      </c>
      <c r="F4" s="35">
        <f>Forecasting!B39</f>
        <v>821033901691</v>
      </c>
      <c r="G4" s="35">
        <f>Forecasting!C39</f>
        <v>936955670852.19226</v>
      </c>
      <c r="H4" s="35">
        <f>Forecasting!D39</f>
        <v>381185407369.30981</v>
      </c>
      <c r="I4" s="35">
        <f>Forecasting!E39</f>
        <v>51688788701.304932</v>
      </c>
      <c r="J4" s="35">
        <f>Forecasting!F39</f>
        <v>0</v>
      </c>
      <c r="K4" s="35">
        <f>Forecasting!G39</f>
        <v>0</v>
      </c>
    </row>
    <row r="5" spans="1:11" ht="14.25" customHeight="1" x14ac:dyDescent="0.3">
      <c r="A5" s="7" t="s">
        <v>52</v>
      </c>
      <c r="B5" s="35">
        <v>3205703464640</v>
      </c>
      <c r="C5" s="35">
        <v>2999752062520</v>
      </c>
      <c r="D5" s="35">
        <v>2787681809360</v>
      </c>
      <c r="E5" s="35">
        <v>2541390152379</v>
      </c>
      <c r="F5" s="35">
        <f>Forecasting!B42</f>
        <v>3588223884700</v>
      </c>
      <c r="G5" s="35">
        <f>Forecasting!C42</f>
        <v>2961861547383.5288</v>
      </c>
      <c r="H5" s="35">
        <f>Forecasting!D42</f>
        <v>2678053924689.5654</v>
      </c>
      <c r="I5" s="35">
        <f>Forecasting!E42</f>
        <v>237774215902.11279</v>
      </c>
      <c r="J5" s="35">
        <f>Forecasting!F42</f>
        <v>0</v>
      </c>
      <c r="K5" s="35">
        <f>Forecasting!G42</f>
        <v>0</v>
      </c>
    </row>
    <row r="6" spans="1:11" ht="14.25" customHeight="1" x14ac:dyDescent="0.3">
      <c r="A6" s="61" t="s">
        <v>113</v>
      </c>
      <c r="B6" s="62">
        <f t="shared" ref="B6:K6" si="1">SUM(B4:B5)</f>
        <v>3954111703280</v>
      </c>
      <c r="C6" s="62">
        <f t="shared" si="1"/>
        <v>3835069087120</v>
      </c>
      <c r="D6" s="62">
        <f t="shared" si="1"/>
        <v>3341034622800</v>
      </c>
      <c r="E6" s="62">
        <f t="shared" si="1"/>
        <v>3048688903623</v>
      </c>
      <c r="F6" s="62">
        <f t="shared" si="1"/>
        <v>4409257786391</v>
      </c>
      <c r="G6" s="62">
        <f t="shared" si="1"/>
        <v>3898817218235.7212</v>
      </c>
      <c r="H6" s="62">
        <f t="shared" si="1"/>
        <v>3059239332058.875</v>
      </c>
      <c r="I6" s="62">
        <f t="shared" si="1"/>
        <v>289463004603.41772</v>
      </c>
      <c r="J6" s="62">
        <f t="shared" si="1"/>
        <v>0</v>
      </c>
      <c r="K6" s="62">
        <f t="shared" si="1"/>
        <v>0</v>
      </c>
    </row>
    <row r="7" spans="1:11" ht="14.25" customHeight="1" x14ac:dyDescent="0.3">
      <c r="A7" s="7" t="s">
        <v>114</v>
      </c>
      <c r="B7" s="11">
        <f t="shared" ref="B7:F7" si="2">B3/B6</f>
        <v>2.7637954747041543E-2</v>
      </c>
      <c r="C7" s="11">
        <f t="shared" si="2"/>
        <v>4.3814578229198473E-2</v>
      </c>
      <c r="D7" s="11">
        <f t="shared" si="2"/>
        <v>7.497676524886325E-2</v>
      </c>
      <c r="E7" s="11">
        <f t="shared" si="2"/>
        <v>7.8013656704479267E-2</v>
      </c>
      <c r="F7" s="11">
        <f t="shared" si="2"/>
        <v>4.3271698922409244E-2</v>
      </c>
      <c r="G7" s="11"/>
    </row>
    <row r="8" spans="1:11" ht="14.25" customHeight="1" x14ac:dyDescent="0.3">
      <c r="A8" s="7" t="s">
        <v>114</v>
      </c>
      <c r="B8" s="11">
        <v>6.5000000000000002E-2</v>
      </c>
    </row>
    <row r="9" spans="1:11" ht="14.25" customHeight="1" x14ac:dyDescent="0.3"/>
    <row r="10" spans="1:11" ht="14.25" customHeight="1" x14ac:dyDescent="0.3">
      <c r="G10" s="35">
        <v>299003501148.29999</v>
      </c>
      <c r="H10" s="35">
        <v>304189958156.91223</v>
      </c>
      <c r="I10" s="35">
        <v>350659079322.02344</v>
      </c>
      <c r="J10" s="35">
        <v>218655229592.96735</v>
      </c>
      <c r="K10" s="35">
        <v>205697196124.49609</v>
      </c>
    </row>
    <row r="11" spans="1:11" ht="14.25" customHeight="1" x14ac:dyDescent="0.3"/>
    <row r="12" spans="1:11" ht="14.25" customHeight="1" x14ac:dyDescent="0.3"/>
    <row r="13" spans="1:11" ht="14.25" customHeight="1" x14ac:dyDescent="0.3"/>
    <row r="14" spans="1:11" ht="14.25" customHeight="1" x14ac:dyDescent="0.3"/>
    <row r="15" spans="1:11" ht="14.25" customHeight="1" x14ac:dyDescent="0.3"/>
    <row r="16" spans="1:11" ht="14.25" customHeight="1" x14ac:dyDescent="0.3"/>
    <row r="17" s="7" customFormat="1" ht="14.25" customHeight="1" x14ac:dyDescent="0.3"/>
    <row r="18" s="7" customFormat="1" ht="14.25" customHeight="1" x14ac:dyDescent="0.3"/>
    <row r="19" s="7" customFormat="1" ht="14.25" customHeight="1" x14ac:dyDescent="0.3"/>
    <row r="20" s="7" customFormat="1" ht="14.25" customHeight="1" x14ac:dyDescent="0.3"/>
    <row r="21" s="7" customFormat="1" ht="14.25" customHeight="1" x14ac:dyDescent="0.3"/>
    <row r="22" s="7" customFormat="1" ht="14.25" customHeight="1" x14ac:dyDescent="0.3"/>
    <row r="23" s="7" customFormat="1" ht="14.25" customHeight="1" x14ac:dyDescent="0.3"/>
    <row r="24" s="7" customFormat="1" ht="14.25" customHeight="1" x14ac:dyDescent="0.3"/>
    <row r="25" s="7" customFormat="1" ht="14.25" customHeight="1" x14ac:dyDescent="0.3"/>
    <row r="26" s="7" customFormat="1" ht="14.25" customHeight="1" x14ac:dyDescent="0.3"/>
    <row r="27" s="7" customFormat="1" ht="14.25" customHeight="1" x14ac:dyDescent="0.3"/>
    <row r="28" s="7" customFormat="1" ht="14.25" customHeight="1" x14ac:dyDescent="0.3"/>
    <row r="29" s="7" customFormat="1" ht="14.25" customHeight="1" x14ac:dyDescent="0.3"/>
    <row r="30" s="7" customFormat="1" ht="14.25" customHeight="1" x14ac:dyDescent="0.3"/>
    <row r="31" s="7" customFormat="1" ht="14.25" customHeight="1" x14ac:dyDescent="0.3"/>
    <row r="32" s="7" customFormat="1" ht="14.25" customHeight="1" x14ac:dyDescent="0.3"/>
    <row r="33" s="7" customFormat="1" ht="14.25" customHeight="1" x14ac:dyDescent="0.3"/>
    <row r="34" s="7" customFormat="1" ht="14.25" customHeight="1" x14ac:dyDescent="0.3"/>
    <row r="35" s="7" customFormat="1" ht="14.25" customHeight="1" x14ac:dyDescent="0.3"/>
    <row r="36" s="7" customFormat="1" ht="14.25" customHeight="1" x14ac:dyDescent="0.3"/>
    <row r="37" s="7" customFormat="1" ht="14.25" customHeight="1" x14ac:dyDescent="0.3"/>
    <row r="38" s="7" customFormat="1" ht="14.25" customHeight="1" x14ac:dyDescent="0.3"/>
    <row r="39" s="7" customFormat="1" ht="14.25" customHeight="1" x14ac:dyDescent="0.3"/>
    <row r="40" s="7" customFormat="1" ht="14.25" customHeight="1" x14ac:dyDescent="0.3"/>
    <row r="41" s="7" customFormat="1" ht="14.25" customHeight="1" x14ac:dyDescent="0.3"/>
    <row r="42" s="7" customFormat="1" ht="14.25" customHeight="1" x14ac:dyDescent="0.3"/>
    <row r="43" s="7" customFormat="1" ht="14.25" customHeight="1" x14ac:dyDescent="0.3"/>
    <row r="44" s="7" customFormat="1" ht="14.25" customHeight="1" x14ac:dyDescent="0.3"/>
    <row r="45" s="7" customFormat="1" ht="14.25" customHeight="1" x14ac:dyDescent="0.3"/>
    <row r="46" s="7" customFormat="1" ht="14.25" customHeight="1" x14ac:dyDescent="0.3"/>
    <row r="47" s="7" customFormat="1" ht="14.25" customHeight="1" x14ac:dyDescent="0.3"/>
    <row r="48" s="7" customFormat="1" ht="14.25" customHeight="1" x14ac:dyDescent="0.3"/>
    <row r="49" s="7" customFormat="1" ht="14.25" customHeight="1" x14ac:dyDescent="0.3"/>
    <row r="50" s="7" customFormat="1" ht="14.25" customHeight="1" x14ac:dyDescent="0.3"/>
    <row r="51" s="7" customFormat="1" ht="14.25" customHeight="1" x14ac:dyDescent="0.3"/>
    <row r="52" s="7" customFormat="1" ht="14.25" customHeight="1" x14ac:dyDescent="0.3"/>
    <row r="53" s="7" customFormat="1" ht="14.25" customHeight="1" x14ac:dyDescent="0.3"/>
    <row r="54" s="7" customFormat="1" ht="14.25" customHeight="1" x14ac:dyDescent="0.3"/>
    <row r="55" s="7" customFormat="1" ht="14.25" customHeight="1" x14ac:dyDescent="0.3"/>
    <row r="56" s="7" customFormat="1" ht="14.25" customHeight="1" x14ac:dyDescent="0.3"/>
    <row r="57" s="7" customFormat="1" ht="14.25" customHeight="1" x14ac:dyDescent="0.3"/>
    <row r="58" s="7" customFormat="1" ht="14.25" customHeight="1" x14ac:dyDescent="0.3"/>
    <row r="59" s="7" customFormat="1" ht="14.25" customHeight="1" x14ac:dyDescent="0.3"/>
    <row r="60" s="7" customFormat="1" ht="14.25" customHeight="1" x14ac:dyDescent="0.3"/>
    <row r="61" s="7" customFormat="1" ht="14.25" customHeight="1" x14ac:dyDescent="0.3"/>
    <row r="62" s="7" customFormat="1" ht="14.25" customHeight="1" x14ac:dyDescent="0.3"/>
    <row r="63" s="7" customFormat="1" ht="14.25" customHeight="1" x14ac:dyDescent="0.3"/>
    <row r="64" s="7" customFormat="1" ht="14.25" customHeight="1" x14ac:dyDescent="0.3"/>
    <row r="65" s="7" customFormat="1" ht="14.25" customHeight="1" x14ac:dyDescent="0.3"/>
    <row r="66" s="7" customFormat="1" ht="14.25" customHeight="1" x14ac:dyDescent="0.3"/>
    <row r="67" s="7" customFormat="1" ht="14.25" customHeight="1" x14ac:dyDescent="0.3"/>
    <row r="68" s="7" customFormat="1" ht="14.25" customHeight="1" x14ac:dyDescent="0.3"/>
    <row r="69" s="7" customFormat="1" ht="14.25" customHeight="1" x14ac:dyDescent="0.3"/>
    <row r="70" s="7" customFormat="1" ht="14.25" customHeight="1" x14ac:dyDescent="0.3"/>
    <row r="71" s="7" customFormat="1" ht="14.25" customHeight="1" x14ac:dyDescent="0.3"/>
    <row r="72" s="7" customFormat="1" ht="14.25" customHeight="1" x14ac:dyDescent="0.3"/>
    <row r="73" s="7" customFormat="1" ht="14.25" customHeight="1" x14ac:dyDescent="0.3"/>
    <row r="74" s="7" customFormat="1" ht="14.25" customHeight="1" x14ac:dyDescent="0.3"/>
    <row r="75" s="7" customFormat="1" ht="14.25" customHeight="1" x14ac:dyDescent="0.3"/>
    <row r="76" s="7" customFormat="1" ht="14.25" customHeight="1" x14ac:dyDescent="0.3"/>
    <row r="77" s="7" customFormat="1" ht="14.25" customHeight="1" x14ac:dyDescent="0.3"/>
    <row r="78" s="7" customFormat="1" ht="14.25" customHeight="1" x14ac:dyDescent="0.3"/>
    <row r="79" s="7" customFormat="1" ht="14.25" customHeight="1" x14ac:dyDescent="0.3"/>
    <row r="80" s="7" customFormat="1" ht="14.25" customHeight="1" x14ac:dyDescent="0.3"/>
    <row r="81" s="7" customFormat="1" ht="14.25" customHeight="1" x14ac:dyDescent="0.3"/>
    <row r="82" s="7" customFormat="1" ht="14.25" customHeight="1" x14ac:dyDescent="0.3"/>
    <row r="83" s="7" customFormat="1" ht="14.25" customHeight="1" x14ac:dyDescent="0.3"/>
    <row r="84" s="7" customFormat="1" ht="14.25" customHeight="1" x14ac:dyDescent="0.3"/>
    <row r="85" s="7" customFormat="1" ht="14.25" customHeight="1" x14ac:dyDescent="0.3"/>
    <row r="86" s="7" customFormat="1" ht="14.25" customHeight="1" x14ac:dyDescent="0.3"/>
    <row r="87" s="7" customFormat="1" ht="14.25" customHeight="1" x14ac:dyDescent="0.3"/>
    <row r="88" s="7" customFormat="1" ht="14.25" customHeight="1" x14ac:dyDescent="0.3"/>
    <row r="89" s="7" customFormat="1" ht="14.25" customHeight="1" x14ac:dyDescent="0.3"/>
    <row r="90" s="7" customFormat="1" ht="14.25" customHeight="1" x14ac:dyDescent="0.3"/>
    <row r="91" s="7" customFormat="1" ht="14.25" customHeight="1" x14ac:dyDescent="0.3"/>
    <row r="92" s="7" customFormat="1" ht="14.25" customHeight="1" x14ac:dyDescent="0.3"/>
    <row r="93" s="7" customFormat="1" ht="14.25" customHeight="1" x14ac:dyDescent="0.3"/>
    <row r="94" s="7" customFormat="1" ht="14.25" customHeight="1" x14ac:dyDescent="0.3"/>
    <row r="95" s="7" customFormat="1" ht="14.25" customHeight="1" x14ac:dyDescent="0.3"/>
    <row r="96" s="7" customFormat="1" ht="14.25" customHeight="1" x14ac:dyDescent="0.3"/>
    <row r="97" s="7" customFormat="1" ht="14.25" customHeight="1" x14ac:dyDescent="0.3"/>
    <row r="98" s="7" customFormat="1" ht="14.25" customHeight="1" x14ac:dyDescent="0.3"/>
    <row r="99" s="7" customFormat="1" ht="14.25" customHeight="1" x14ac:dyDescent="0.3"/>
    <row r="100" s="7" customFormat="1" ht="14.25" customHeight="1" x14ac:dyDescent="0.3"/>
    <row r="101" s="7" customFormat="1" ht="14.25" customHeight="1" x14ac:dyDescent="0.3"/>
    <row r="102" s="7" customFormat="1" ht="14.25" customHeight="1" x14ac:dyDescent="0.3"/>
    <row r="103" s="7" customFormat="1" ht="14.25" customHeight="1" x14ac:dyDescent="0.3"/>
    <row r="104" s="7" customFormat="1" ht="14.25" customHeight="1" x14ac:dyDescent="0.3"/>
    <row r="105" s="7" customFormat="1" ht="14.25" customHeight="1" x14ac:dyDescent="0.3"/>
    <row r="106" s="7" customFormat="1" ht="14.25" customHeight="1" x14ac:dyDescent="0.3"/>
    <row r="107" s="7" customFormat="1" ht="14.25" customHeight="1" x14ac:dyDescent="0.3"/>
    <row r="108" s="7" customFormat="1" ht="14.25" customHeight="1" x14ac:dyDescent="0.3"/>
    <row r="109" s="7" customFormat="1" ht="14.25" customHeight="1" x14ac:dyDescent="0.3"/>
    <row r="110" s="7" customFormat="1" ht="14.25" customHeight="1" x14ac:dyDescent="0.3"/>
    <row r="111" s="7" customFormat="1" ht="14.25" customHeight="1" x14ac:dyDescent="0.3"/>
    <row r="112" s="7" customFormat="1" ht="14.25" customHeight="1" x14ac:dyDescent="0.3"/>
    <row r="113" s="7" customFormat="1" ht="14.25" customHeight="1" x14ac:dyDescent="0.3"/>
    <row r="114" s="7" customFormat="1" ht="14.25" customHeight="1" x14ac:dyDescent="0.3"/>
    <row r="115" s="7" customFormat="1" ht="14.25" customHeight="1" x14ac:dyDescent="0.3"/>
    <row r="116" s="7" customFormat="1" ht="14.25" customHeight="1" x14ac:dyDescent="0.3"/>
    <row r="117" s="7" customFormat="1" ht="14.25" customHeight="1" x14ac:dyDescent="0.3"/>
    <row r="118" s="7" customFormat="1" ht="14.25" customHeight="1" x14ac:dyDescent="0.3"/>
    <row r="119" s="7" customFormat="1" ht="14.25" customHeight="1" x14ac:dyDescent="0.3"/>
    <row r="120" s="7" customFormat="1" ht="14.25" customHeight="1" x14ac:dyDescent="0.3"/>
    <row r="121" s="7" customFormat="1" ht="14.25" customHeight="1" x14ac:dyDescent="0.3"/>
    <row r="122" s="7" customFormat="1" ht="14.25" customHeight="1" x14ac:dyDescent="0.3"/>
    <row r="123" s="7" customFormat="1" ht="14.25" customHeight="1" x14ac:dyDescent="0.3"/>
    <row r="124" s="7" customFormat="1" ht="14.25" customHeight="1" x14ac:dyDescent="0.3"/>
    <row r="125" s="7" customFormat="1" ht="14.25" customHeight="1" x14ac:dyDescent="0.3"/>
    <row r="126" s="7" customFormat="1" ht="14.25" customHeight="1" x14ac:dyDescent="0.3"/>
    <row r="127" s="7" customFormat="1" ht="14.25" customHeight="1" x14ac:dyDescent="0.3"/>
    <row r="128" s="7" customFormat="1" ht="14.25" customHeight="1" x14ac:dyDescent="0.3"/>
    <row r="129" s="7" customFormat="1" ht="14.25" customHeight="1" x14ac:dyDescent="0.3"/>
    <row r="130" s="7" customFormat="1" ht="14.25" customHeight="1" x14ac:dyDescent="0.3"/>
    <row r="131" s="7" customFormat="1" ht="14.25" customHeight="1" x14ac:dyDescent="0.3"/>
    <row r="132" s="7" customFormat="1" ht="14.25" customHeight="1" x14ac:dyDescent="0.3"/>
    <row r="133" s="7" customFormat="1" ht="14.25" customHeight="1" x14ac:dyDescent="0.3"/>
    <row r="134" s="7" customFormat="1" ht="14.25" customHeight="1" x14ac:dyDescent="0.3"/>
    <row r="135" s="7" customFormat="1" ht="14.25" customHeight="1" x14ac:dyDescent="0.3"/>
    <row r="136" s="7" customFormat="1" ht="14.25" customHeight="1" x14ac:dyDescent="0.3"/>
    <row r="137" s="7" customFormat="1" ht="14.25" customHeight="1" x14ac:dyDescent="0.3"/>
    <row r="138" s="7" customFormat="1" ht="14.25" customHeight="1" x14ac:dyDescent="0.3"/>
    <row r="139" s="7" customFormat="1" ht="14.25" customHeight="1" x14ac:dyDescent="0.3"/>
    <row r="140" s="7" customFormat="1" ht="14.25" customHeight="1" x14ac:dyDescent="0.3"/>
    <row r="141" s="7" customFormat="1" ht="14.25" customHeight="1" x14ac:dyDescent="0.3"/>
    <row r="142" s="7" customFormat="1" ht="14.25" customHeight="1" x14ac:dyDescent="0.3"/>
    <row r="143" s="7" customFormat="1" ht="14.25" customHeight="1" x14ac:dyDescent="0.3"/>
    <row r="144" s="7" customFormat="1" ht="14.25" customHeight="1" x14ac:dyDescent="0.3"/>
    <row r="145" s="7" customFormat="1" ht="14.25" customHeight="1" x14ac:dyDescent="0.3"/>
    <row r="146" s="7" customFormat="1" ht="14.25" customHeight="1" x14ac:dyDescent="0.3"/>
    <row r="147" s="7" customFormat="1" ht="14.25" customHeight="1" x14ac:dyDescent="0.3"/>
    <row r="148" s="7" customFormat="1" ht="14.25" customHeight="1" x14ac:dyDescent="0.3"/>
    <row r="149" s="7" customFormat="1" ht="14.25" customHeight="1" x14ac:dyDescent="0.3"/>
    <row r="150" s="7" customFormat="1" ht="14.25" customHeight="1" x14ac:dyDescent="0.3"/>
    <row r="151" s="7" customFormat="1" ht="14.25" customHeight="1" x14ac:dyDescent="0.3"/>
    <row r="152" s="7" customFormat="1" ht="14.25" customHeight="1" x14ac:dyDescent="0.3"/>
    <row r="153" s="7" customFormat="1" ht="14.25" customHeight="1" x14ac:dyDescent="0.3"/>
    <row r="154" s="7" customFormat="1" ht="14.25" customHeight="1" x14ac:dyDescent="0.3"/>
    <row r="155" s="7" customFormat="1" ht="14.25" customHeight="1" x14ac:dyDescent="0.3"/>
    <row r="156" s="7" customFormat="1" ht="14.25" customHeight="1" x14ac:dyDescent="0.3"/>
    <row r="157" s="7" customFormat="1" ht="14.25" customHeight="1" x14ac:dyDescent="0.3"/>
    <row r="158" s="7" customFormat="1" ht="14.25" customHeight="1" x14ac:dyDescent="0.3"/>
    <row r="159" s="7" customFormat="1" ht="14.25" customHeight="1" x14ac:dyDescent="0.3"/>
    <row r="160" s="7" customFormat="1" ht="14.25" customHeight="1" x14ac:dyDescent="0.3"/>
    <row r="161" s="7" customFormat="1" ht="14.25" customHeight="1" x14ac:dyDescent="0.3"/>
    <row r="162" s="7" customFormat="1" ht="14.25" customHeight="1" x14ac:dyDescent="0.3"/>
    <row r="163" s="7" customFormat="1" ht="14.25" customHeight="1" x14ac:dyDescent="0.3"/>
    <row r="164" s="7" customFormat="1" ht="14.25" customHeight="1" x14ac:dyDescent="0.3"/>
    <row r="165" s="7" customFormat="1" ht="14.25" customHeight="1" x14ac:dyDescent="0.3"/>
    <row r="166" s="7" customFormat="1" ht="14.25" customHeight="1" x14ac:dyDescent="0.3"/>
    <row r="167" s="7" customFormat="1" ht="14.25" customHeight="1" x14ac:dyDescent="0.3"/>
    <row r="168" s="7" customFormat="1" ht="14.25" customHeight="1" x14ac:dyDescent="0.3"/>
    <row r="169" s="7" customFormat="1" ht="14.25" customHeight="1" x14ac:dyDescent="0.3"/>
    <row r="170" s="7" customFormat="1" ht="14.25" customHeight="1" x14ac:dyDescent="0.3"/>
    <row r="171" s="7" customFormat="1" ht="14.25" customHeight="1" x14ac:dyDescent="0.3"/>
    <row r="172" s="7" customFormat="1" ht="14.25" customHeight="1" x14ac:dyDescent="0.3"/>
    <row r="173" s="7" customFormat="1" ht="14.25" customHeight="1" x14ac:dyDescent="0.3"/>
    <row r="174" s="7" customFormat="1" ht="14.25" customHeight="1" x14ac:dyDescent="0.3"/>
    <row r="175" s="7" customFormat="1" ht="14.25" customHeight="1" x14ac:dyDescent="0.3"/>
    <row r="176" s="7" customFormat="1" ht="14.25" customHeight="1" x14ac:dyDescent="0.3"/>
    <row r="177" s="7" customFormat="1" ht="14.25" customHeight="1" x14ac:dyDescent="0.3"/>
    <row r="178" s="7" customFormat="1" ht="14.25" customHeight="1" x14ac:dyDescent="0.3"/>
    <row r="179" s="7" customFormat="1" ht="14.25" customHeight="1" x14ac:dyDescent="0.3"/>
    <row r="180" s="7" customFormat="1" ht="14.25" customHeight="1" x14ac:dyDescent="0.3"/>
    <row r="181" s="7" customFormat="1" ht="14.25" customHeight="1" x14ac:dyDescent="0.3"/>
    <row r="182" s="7" customFormat="1" ht="14.25" customHeight="1" x14ac:dyDescent="0.3"/>
    <row r="183" s="7" customFormat="1" ht="14.25" customHeight="1" x14ac:dyDescent="0.3"/>
    <row r="184" s="7" customFormat="1" ht="14.25" customHeight="1" x14ac:dyDescent="0.3"/>
    <row r="185" s="7" customFormat="1" ht="14.25" customHeight="1" x14ac:dyDescent="0.3"/>
    <row r="186" s="7" customFormat="1" ht="14.25" customHeight="1" x14ac:dyDescent="0.3"/>
    <row r="187" s="7" customFormat="1" ht="14.25" customHeight="1" x14ac:dyDescent="0.3"/>
    <row r="188" s="7" customFormat="1" ht="14.25" customHeight="1" x14ac:dyDescent="0.3"/>
    <row r="189" s="7" customFormat="1" ht="14.25" customHeight="1" x14ac:dyDescent="0.3"/>
    <row r="190" s="7" customFormat="1" ht="14.25" customHeight="1" x14ac:dyDescent="0.3"/>
    <row r="191" s="7" customFormat="1" ht="14.25" customHeight="1" x14ac:dyDescent="0.3"/>
    <row r="192" s="7" customFormat="1" ht="14.25" customHeight="1" x14ac:dyDescent="0.3"/>
    <row r="193" s="7" customFormat="1" ht="14.25" customHeight="1" x14ac:dyDescent="0.3"/>
    <row r="194" s="7" customFormat="1" ht="14.25" customHeight="1" x14ac:dyDescent="0.3"/>
    <row r="195" s="7" customFormat="1" ht="14.25" customHeight="1" x14ac:dyDescent="0.3"/>
    <row r="196" s="7" customFormat="1" ht="14.25" customHeight="1" x14ac:dyDescent="0.3"/>
    <row r="197" s="7" customFormat="1" ht="14.25" customHeight="1" x14ac:dyDescent="0.3"/>
    <row r="198" s="7" customFormat="1" ht="14.25" customHeight="1" x14ac:dyDescent="0.3"/>
    <row r="199" s="7" customFormat="1" ht="14.25" customHeight="1" x14ac:dyDescent="0.3"/>
    <row r="200" s="7" customFormat="1" ht="14.25" customHeight="1" x14ac:dyDescent="0.3"/>
    <row r="201" s="7" customFormat="1" ht="14.25" customHeight="1" x14ac:dyDescent="0.3"/>
    <row r="202" s="7" customFormat="1" ht="14.25" customHeight="1" x14ac:dyDescent="0.3"/>
    <row r="203" s="7" customFormat="1" ht="14.25" customHeight="1" x14ac:dyDescent="0.3"/>
    <row r="204" s="7" customFormat="1" ht="14.25" customHeight="1" x14ac:dyDescent="0.3"/>
    <row r="205" s="7" customFormat="1" ht="14.25" customHeight="1" x14ac:dyDescent="0.3"/>
    <row r="206" s="7" customFormat="1" ht="14.25" customHeight="1" x14ac:dyDescent="0.3"/>
    <row r="207" s="7" customFormat="1" ht="14.25" customHeight="1" x14ac:dyDescent="0.3"/>
    <row r="208" s="7" customFormat="1" ht="14.25" customHeight="1" x14ac:dyDescent="0.3"/>
    <row r="209" s="7" customFormat="1" ht="14.25" customHeight="1" x14ac:dyDescent="0.3"/>
    <row r="210" s="7" customFormat="1" ht="14.25" customHeight="1" x14ac:dyDescent="0.3"/>
    <row r="211" s="7" customFormat="1" ht="14.25" customHeight="1" x14ac:dyDescent="0.3"/>
    <row r="212" s="7" customFormat="1" ht="14.25" customHeight="1" x14ac:dyDescent="0.3"/>
    <row r="213" s="7" customFormat="1" ht="14.25" customHeight="1" x14ac:dyDescent="0.3"/>
    <row r="214" s="7" customFormat="1" ht="14.25" customHeight="1" x14ac:dyDescent="0.3"/>
    <row r="215" s="7" customFormat="1" ht="14.25" customHeight="1" x14ac:dyDescent="0.3"/>
    <row r="216" s="7" customFormat="1" ht="14.25" customHeight="1" x14ac:dyDescent="0.3"/>
    <row r="217" s="7" customFormat="1" ht="14.25" customHeight="1" x14ac:dyDescent="0.3"/>
    <row r="218" s="7" customFormat="1" ht="14.25" customHeight="1" x14ac:dyDescent="0.3"/>
    <row r="219" s="7" customFormat="1" ht="14.25" customHeight="1" x14ac:dyDescent="0.3"/>
    <row r="220" s="7" customFormat="1" ht="14.25" customHeight="1" x14ac:dyDescent="0.3"/>
    <row r="221" s="7" customFormat="1" ht="14.25" customHeight="1" x14ac:dyDescent="0.3"/>
    <row r="222" s="7" customFormat="1" ht="14.25" customHeight="1" x14ac:dyDescent="0.3"/>
    <row r="223" s="7" customFormat="1" ht="14.25" customHeight="1" x14ac:dyDescent="0.3"/>
    <row r="224" s="7" customFormat="1" ht="14.25" customHeight="1" x14ac:dyDescent="0.3"/>
    <row r="225" s="7" customFormat="1" ht="14.25" customHeight="1" x14ac:dyDescent="0.3"/>
    <row r="226" s="7" customFormat="1" ht="14.25" customHeight="1" x14ac:dyDescent="0.3"/>
    <row r="227" s="7" customFormat="1" ht="14.25" customHeight="1" x14ac:dyDescent="0.3"/>
    <row r="228" s="7" customFormat="1" ht="14.25" customHeight="1" x14ac:dyDescent="0.3"/>
    <row r="229" s="7" customFormat="1" ht="14.25" customHeight="1" x14ac:dyDescent="0.3"/>
    <row r="230" s="7" customFormat="1" ht="14.25" customHeight="1" x14ac:dyDescent="0.3"/>
    <row r="231" s="7" customFormat="1" ht="14.25" customHeight="1" x14ac:dyDescent="0.3"/>
    <row r="232" s="7" customFormat="1" ht="14.25" customHeight="1" x14ac:dyDescent="0.3"/>
    <row r="233" s="7" customFormat="1" ht="14.25" customHeight="1" x14ac:dyDescent="0.3"/>
    <row r="234" s="7" customFormat="1" ht="14.25" customHeight="1" x14ac:dyDescent="0.3"/>
    <row r="235" s="7" customFormat="1" ht="14.25" customHeight="1" x14ac:dyDescent="0.3"/>
    <row r="236" s="7" customFormat="1" ht="14.25" customHeight="1" x14ac:dyDescent="0.3"/>
    <row r="237" s="7" customFormat="1" ht="14.25" customHeight="1" x14ac:dyDescent="0.3"/>
    <row r="238" s="7" customFormat="1" ht="14.25" customHeight="1" x14ac:dyDescent="0.3"/>
    <row r="239" s="7" customFormat="1" ht="14.25" customHeight="1" x14ac:dyDescent="0.3"/>
    <row r="240" s="7" customFormat="1" ht="14.25" customHeight="1" x14ac:dyDescent="0.3"/>
    <row r="241" s="7" customFormat="1" ht="14.25" customHeight="1" x14ac:dyDescent="0.3"/>
    <row r="242" s="7" customFormat="1" ht="14.25" customHeight="1" x14ac:dyDescent="0.3"/>
    <row r="243" s="7" customFormat="1" ht="14.25" customHeight="1" x14ac:dyDescent="0.3"/>
    <row r="244" s="7" customFormat="1" ht="14.25" customHeight="1" x14ac:dyDescent="0.3"/>
    <row r="245" s="7" customFormat="1" ht="14.25" customHeight="1" x14ac:dyDescent="0.3"/>
    <row r="246" s="7" customFormat="1" ht="14.25" customHeight="1" x14ac:dyDescent="0.3"/>
    <row r="247" s="7" customFormat="1" ht="14.25" customHeight="1" x14ac:dyDescent="0.3"/>
    <row r="248" s="7" customFormat="1" ht="14.25" customHeight="1" x14ac:dyDescent="0.3"/>
    <row r="249" s="7" customFormat="1" ht="14.25" customHeight="1" x14ac:dyDescent="0.3"/>
    <row r="250" s="7" customFormat="1" ht="14.25" customHeight="1" x14ac:dyDescent="0.3"/>
    <row r="251" s="7" customFormat="1" ht="14.25" customHeight="1" x14ac:dyDescent="0.3"/>
    <row r="252" s="7" customFormat="1" ht="14.25" customHeight="1" x14ac:dyDescent="0.3"/>
    <row r="253" s="7" customFormat="1" ht="14.25" customHeight="1" x14ac:dyDescent="0.3"/>
    <row r="254" s="7" customFormat="1" ht="14.25" customHeight="1" x14ac:dyDescent="0.3"/>
    <row r="255" s="7" customFormat="1" ht="14.25" customHeight="1" x14ac:dyDescent="0.3"/>
    <row r="256" s="7" customFormat="1" ht="14.25" customHeight="1" x14ac:dyDescent="0.3"/>
    <row r="257" s="7" customFormat="1" ht="14.25" customHeight="1" x14ac:dyDescent="0.3"/>
    <row r="258" s="7" customFormat="1" ht="14.25" customHeight="1" x14ac:dyDescent="0.3"/>
    <row r="259" s="7" customFormat="1" ht="14.25" customHeight="1" x14ac:dyDescent="0.3"/>
    <row r="260" s="7" customFormat="1" ht="14.25" customHeight="1" x14ac:dyDescent="0.3"/>
    <row r="261" s="7" customFormat="1" ht="14.25" customHeight="1" x14ac:dyDescent="0.3"/>
    <row r="262" s="7" customFormat="1" ht="14.25" customHeight="1" x14ac:dyDescent="0.3"/>
    <row r="263" s="7" customFormat="1" ht="14.25" customHeight="1" x14ac:dyDescent="0.3"/>
    <row r="264" s="7" customFormat="1" ht="14.25" customHeight="1" x14ac:dyDescent="0.3"/>
    <row r="265" s="7" customFormat="1" ht="14.25" customHeight="1" x14ac:dyDescent="0.3"/>
    <row r="266" s="7" customFormat="1" ht="14.25" customHeight="1" x14ac:dyDescent="0.3"/>
    <row r="267" s="7" customFormat="1" ht="14.25" customHeight="1" x14ac:dyDescent="0.3"/>
    <row r="268" s="7" customFormat="1" ht="14.25" customHeight="1" x14ac:dyDescent="0.3"/>
    <row r="269" s="7" customFormat="1" ht="14.25" customHeight="1" x14ac:dyDescent="0.3"/>
    <row r="270" s="7" customFormat="1" ht="14.25" customHeight="1" x14ac:dyDescent="0.3"/>
    <row r="271" s="7" customFormat="1" ht="14.25" customHeight="1" x14ac:dyDescent="0.3"/>
    <row r="272" s="7" customFormat="1" ht="14.25" customHeight="1" x14ac:dyDescent="0.3"/>
    <row r="273" s="7" customFormat="1" ht="14.25" customHeight="1" x14ac:dyDescent="0.3"/>
    <row r="274" s="7" customFormat="1" ht="14.25" customHeight="1" x14ac:dyDescent="0.3"/>
    <row r="275" s="7" customFormat="1" ht="14.25" customHeight="1" x14ac:dyDescent="0.3"/>
    <row r="276" s="7" customFormat="1" ht="14.25" customHeight="1" x14ac:dyDescent="0.3"/>
    <row r="277" s="7" customFormat="1" ht="14.25" customHeight="1" x14ac:dyDescent="0.3"/>
    <row r="278" s="7" customFormat="1" ht="14.25" customHeight="1" x14ac:dyDescent="0.3"/>
    <row r="279" s="7" customFormat="1" ht="14.25" customHeight="1" x14ac:dyDescent="0.3"/>
    <row r="280" s="7" customFormat="1" ht="14.25" customHeight="1" x14ac:dyDescent="0.3"/>
    <row r="281" s="7" customFormat="1" ht="14.25" customHeight="1" x14ac:dyDescent="0.3"/>
    <row r="282" s="7" customFormat="1" ht="14.25" customHeight="1" x14ac:dyDescent="0.3"/>
    <row r="283" s="7" customFormat="1" ht="14.25" customHeight="1" x14ac:dyDescent="0.3"/>
    <row r="284" s="7" customFormat="1" ht="14.25" customHeight="1" x14ac:dyDescent="0.3"/>
    <row r="285" s="7" customFormat="1" ht="14.25" customHeight="1" x14ac:dyDescent="0.3"/>
    <row r="286" s="7" customFormat="1" ht="14.25" customHeight="1" x14ac:dyDescent="0.3"/>
    <row r="287" s="7" customFormat="1" ht="14.25" customHeight="1" x14ac:dyDescent="0.3"/>
    <row r="288" s="7" customFormat="1" ht="14.25" customHeight="1" x14ac:dyDescent="0.3"/>
    <row r="289" s="7" customFormat="1" ht="14.25" customHeight="1" x14ac:dyDescent="0.3"/>
    <row r="290" s="7" customFormat="1" ht="14.25" customHeight="1" x14ac:dyDescent="0.3"/>
    <row r="291" s="7" customFormat="1" ht="14.25" customHeight="1" x14ac:dyDescent="0.3"/>
    <row r="292" s="7" customFormat="1" ht="14.25" customHeight="1" x14ac:dyDescent="0.3"/>
    <row r="293" s="7" customFormat="1" ht="14.25" customHeight="1" x14ac:dyDescent="0.3"/>
    <row r="294" s="7" customFormat="1" ht="14.25" customHeight="1" x14ac:dyDescent="0.3"/>
    <row r="295" s="7" customFormat="1" ht="14.25" customHeight="1" x14ac:dyDescent="0.3"/>
    <row r="296" s="7" customFormat="1" ht="14.25" customHeight="1" x14ac:dyDescent="0.3"/>
    <row r="297" s="7" customFormat="1" ht="14.25" customHeight="1" x14ac:dyDescent="0.3"/>
    <row r="298" s="7" customFormat="1" ht="14.25" customHeight="1" x14ac:dyDescent="0.3"/>
    <row r="299" s="7" customFormat="1" ht="14.25" customHeight="1" x14ac:dyDescent="0.3"/>
    <row r="300" s="7" customFormat="1" ht="14.25" customHeight="1" x14ac:dyDescent="0.3"/>
    <row r="301" s="7" customFormat="1" ht="14.25" customHeight="1" x14ac:dyDescent="0.3"/>
    <row r="302" s="7" customFormat="1" ht="14.25" customHeight="1" x14ac:dyDescent="0.3"/>
    <row r="303" s="7" customFormat="1" ht="14.25" customHeight="1" x14ac:dyDescent="0.3"/>
    <row r="304" s="7" customFormat="1" ht="14.25" customHeight="1" x14ac:dyDescent="0.3"/>
    <row r="305" s="7" customFormat="1" ht="14.25" customHeight="1" x14ac:dyDescent="0.3"/>
    <row r="306" s="7" customFormat="1" ht="14.25" customHeight="1" x14ac:dyDescent="0.3"/>
    <row r="307" s="7" customFormat="1" ht="14.25" customHeight="1" x14ac:dyDescent="0.3"/>
    <row r="308" s="7" customFormat="1" ht="14.25" customHeight="1" x14ac:dyDescent="0.3"/>
    <row r="309" s="7" customFormat="1" ht="14.25" customHeight="1" x14ac:dyDescent="0.3"/>
    <row r="310" s="7" customFormat="1" ht="14.25" customHeight="1" x14ac:dyDescent="0.3"/>
    <row r="311" s="7" customFormat="1" ht="14.25" customHeight="1" x14ac:dyDescent="0.3"/>
    <row r="312" s="7" customFormat="1" ht="14.25" customHeight="1" x14ac:dyDescent="0.3"/>
    <row r="313" s="7" customFormat="1" ht="14.25" customHeight="1" x14ac:dyDescent="0.3"/>
    <row r="314" s="7" customFormat="1" ht="14.25" customHeight="1" x14ac:dyDescent="0.3"/>
    <row r="315" s="7" customFormat="1" ht="14.25" customHeight="1" x14ac:dyDescent="0.3"/>
    <row r="316" s="7" customFormat="1" ht="14.25" customHeight="1" x14ac:dyDescent="0.3"/>
    <row r="317" s="7" customFormat="1" ht="14.25" customHeight="1" x14ac:dyDescent="0.3"/>
    <row r="318" s="7" customFormat="1" ht="14.25" customHeight="1" x14ac:dyDescent="0.3"/>
    <row r="319" s="7" customFormat="1" ht="14.25" customHeight="1" x14ac:dyDescent="0.3"/>
    <row r="320" s="7" customFormat="1" ht="14.25" customHeight="1" x14ac:dyDescent="0.3"/>
    <row r="321" s="7" customFormat="1" ht="14.25" customHeight="1" x14ac:dyDescent="0.3"/>
    <row r="322" s="7" customFormat="1" ht="14.25" customHeight="1" x14ac:dyDescent="0.3"/>
    <row r="323" s="7" customFormat="1" ht="14.25" customHeight="1" x14ac:dyDescent="0.3"/>
    <row r="324" s="7" customFormat="1" ht="14.25" customHeight="1" x14ac:dyDescent="0.3"/>
    <row r="325" s="7" customFormat="1" ht="14.25" customHeight="1" x14ac:dyDescent="0.3"/>
    <row r="326" s="7" customFormat="1" ht="14.25" customHeight="1" x14ac:dyDescent="0.3"/>
    <row r="327" s="7" customFormat="1" ht="14.25" customHeight="1" x14ac:dyDescent="0.3"/>
    <row r="328" s="7" customFormat="1" ht="14.25" customHeight="1" x14ac:dyDescent="0.3"/>
    <row r="329" s="7" customFormat="1" ht="14.25" customHeight="1" x14ac:dyDescent="0.3"/>
    <row r="330" s="7" customFormat="1" ht="14.25" customHeight="1" x14ac:dyDescent="0.3"/>
    <row r="331" s="7" customFormat="1" ht="14.25" customHeight="1" x14ac:dyDescent="0.3"/>
    <row r="332" s="7" customFormat="1" ht="14.25" customHeight="1" x14ac:dyDescent="0.3"/>
    <row r="333" s="7" customFormat="1" ht="14.25" customHeight="1" x14ac:dyDescent="0.3"/>
    <row r="334" s="7" customFormat="1" ht="14.25" customHeight="1" x14ac:dyDescent="0.3"/>
    <row r="335" s="7" customFormat="1" ht="14.25" customHeight="1" x14ac:dyDescent="0.3"/>
    <row r="336" s="7" customFormat="1" ht="14.25" customHeight="1" x14ac:dyDescent="0.3"/>
    <row r="337" s="7" customFormat="1" ht="14.25" customHeight="1" x14ac:dyDescent="0.3"/>
    <row r="338" s="7" customFormat="1" ht="14.25" customHeight="1" x14ac:dyDescent="0.3"/>
    <row r="339" s="7" customFormat="1" ht="14.25" customHeight="1" x14ac:dyDescent="0.3"/>
    <row r="340" s="7" customFormat="1" ht="14.25" customHeight="1" x14ac:dyDescent="0.3"/>
    <row r="341" s="7" customFormat="1" ht="14.25" customHeight="1" x14ac:dyDescent="0.3"/>
    <row r="342" s="7" customFormat="1" ht="14.25" customHeight="1" x14ac:dyDescent="0.3"/>
    <row r="343" s="7" customFormat="1" ht="14.25" customHeight="1" x14ac:dyDescent="0.3"/>
    <row r="344" s="7" customFormat="1" ht="14.25" customHeight="1" x14ac:dyDescent="0.3"/>
    <row r="345" s="7" customFormat="1" ht="14.25" customHeight="1" x14ac:dyDescent="0.3"/>
    <row r="346" s="7" customFormat="1" ht="14.25" customHeight="1" x14ac:dyDescent="0.3"/>
    <row r="347" s="7" customFormat="1" ht="14.25" customHeight="1" x14ac:dyDescent="0.3"/>
    <row r="348" s="7" customFormat="1" ht="14.25" customHeight="1" x14ac:dyDescent="0.3"/>
    <row r="349" s="7" customFormat="1" ht="14.25" customHeight="1" x14ac:dyDescent="0.3"/>
    <row r="350" s="7" customFormat="1" ht="14.25" customHeight="1" x14ac:dyDescent="0.3"/>
    <row r="351" s="7" customFormat="1" ht="14.25" customHeight="1" x14ac:dyDescent="0.3"/>
    <row r="352" s="7" customFormat="1" ht="14.25" customHeight="1" x14ac:dyDescent="0.3"/>
    <row r="353" s="7" customFormat="1" ht="14.25" customHeight="1" x14ac:dyDescent="0.3"/>
    <row r="354" s="7" customFormat="1" ht="14.25" customHeight="1" x14ac:dyDescent="0.3"/>
    <row r="355" s="7" customFormat="1" ht="14.25" customHeight="1" x14ac:dyDescent="0.3"/>
    <row r="356" s="7" customFormat="1" ht="14.25" customHeight="1" x14ac:dyDescent="0.3"/>
    <row r="357" s="7" customFormat="1" ht="14.25" customHeight="1" x14ac:dyDescent="0.3"/>
    <row r="358" s="7" customFormat="1" ht="14.25" customHeight="1" x14ac:dyDescent="0.3"/>
    <row r="359" s="7" customFormat="1" ht="14.25" customHeight="1" x14ac:dyDescent="0.3"/>
    <row r="360" s="7" customFormat="1" ht="14.25" customHeight="1" x14ac:dyDescent="0.3"/>
    <row r="361" s="7" customFormat="1" ht="14.25" customHeight="1" x14ac:dyDescent="0.3"/>
    <row r="362" s="7" customFormat="1" ht="14.25" customHeight="1" x14ac:dyDescent="0.3"/>
    <row r="363" s="7" customFormat="1" ht="14.25" customHeight="1" x14ac:dyDescent="0.3"/>
    <row r="364" s="7" customFormat="1" ht="14.25" customHeight="1" x14ac:dyDescent="0.3"/>
    <row r="365" s="7" customFormat="1" ht="14.25" customHeight="1" x14ac:dyDescent="0.3"/>
    <row r="366" s="7" customFormat="1" ht="14.25" customHeight="1" x14ac:dyDescent="0.3"/>
    <row r="367" s="7" customFormat="1" ht="14.25" customHeight="1" x14ac:dyDescent="0.3"/>
    <row r="368" s="7" customFormat="1" ht="14.25" customHeight="1" x14ac:dyDescent="0.3"/>
    <row r="369" s="7" customFormat="1" ht="14.25" customHeight="1" x14ac:dyDescent="0.3"/>
    <row r="370" s="7" customFormat="1" ht="14.25" customHeight="1" x14ac:dyDescent="0.3"/>
    <row r="371" s="7" customFormat="1" ht="14.25" customHeight="1" x14ac:dyDescent="0.3"/>
    <row r="372" s="7" customFormat="1" ht="14.25" customHeight="1" x14ac:dyDescent="0.3"/>
    <row r="373" s="7" customFormat="1" ht="14.25" customHeight="1" x14ac:dyDescent="0.3"/>
    <row r="374" s="7" customFormat="1" ht="14.25" customHeight="1" x14ac:dyDescent="0.3"/>
    <row r="375" s="7" customFormat="1" ht="14.25" customHeight="1" x14ac:dyDescent="0.3"/>
    <row r="376" s="7" customFormat="1" ht="14.25" customHeight="1" x14ac:dyDescent="0.3"/>
    <row r="377" s="7" customFormat="1" ht="14.25" customHeight="1" x14ac:dyDescent="0.3"/>
    <row r="378" s="7" customFormat="1" ht="14.25" customHeight="1" x14ac:dyDescent="0.3"/>
    <row r="379" s="7" customFormat="1" ht="14.25" customHeight="1" x14ac:dyDescent="0.3"/>
    <row r="380" s="7" customFormat="1" ht="14.25" customHeight="1" x14ac:dyDescent="0.3"/>
    <row r="381" s="7" customFormat="1" ht="14.25" customHeight="1" x14ac:dyDescent="0.3"/>
    <row r="382" s="7" customFormat="1" ht="14.25" customHeight="1" x14ac:dyDescent="0.3"/>
    <row r="383" s="7" customFormat="1" ht="14.25" customHeight="1" x14ac:dyDescent="0.3"/>
    <row r="384" s="7" customFormat="1" ht="14.25" customHeight="1" x14ac:dyDescent="0.3"/>
    <row r="385" s="7" customFormat="1" ht="14.25" customHeight="1" x14ac:dyDescent="0.3"/>
    <row r="386" s="7" customFormat="1" ht="14.25" customHeight="1" x14ac:dyDescent="0.3"/>
    <row r="387" s="7" customFormat="1" ht="14.25" customHeight="1" x14ac:dyDescent="0.3"/>
    <row r="388" s="7" customFormat="1" ht="14.25" customHeight="1" x14ac:dyDescent="0.3"/>
    <row r="389" s="7" customFormat="1" ht="14.25" customHeight="1" x14ac:dyDescent="0.3"/>
    <row r="390" s="7" customFormat="1" ht="14.25" customHeight="1" x14ac:dyDescent="0.3"/>
    <row r="391" s="7" customFormat="1" ht="14.25" customHeight="1" x14ac:dyDescent="0.3"/>
    <row r="392" s="7" customFormat="1" ht="14.25" customHeight="1" x14ac:dyDescent="0.3"/>
    <row r="393" s="7" customFormat="1" ht="14.25" customHeight="1" x14ac:dyDescent="0.3"/>
    <row r="394" s="7" customFormat="1" ht="14.25" customHeight="1" x14ac:dyDescent="0.3"/>
    <row r="395" s="7" customFormat="1" ht="14.25" customHeight="1" x14ac:dyDescent="0.3"/>
    <row r="396" s="7" customFormat="1" ht="14.25" customHeight="1" x14ac:dyDescent="0.3"/>
    <row r="397" s="7" customFormat="1" ht="14.25" customHeight="1" x14ac:dyDescent="0.3"/>
    <row r="398" s="7" customFormat="1" ht="14.25" customHeight="1" x14ac:dyDescent="0.3"/>
    <row r="399" s="7" customFormat="1" ht="14.25" customHeight="1" x14ac:dyDescent="0.3"/>
    <row r="400" s="7" customFormat="1" ht="14.25" customHeight="1" x14ac:dyDescent="0.3"/>
    <row r="401" s="7" customFormat="1" ht="14.25" customHeight="1" x14ac:dyDescent="0.3"/>
    <row r="402" s="7" customFormat="1" ht="14.25" customHeight="1" x14ac:dyDescent="0.3"/>
    <row r="403" s="7" customFormat="1" ht="14.25" customHeight="1" x14ac:dyDescent="0.3"/>
    <row r="404" s="7" customFormat="1" ht="14.25" customHeight="1" x14ac:dyDescent="0.3"/>
    <row r="405" s="7" customFormat="1" ht="14.25" customHeight="1" x14ac:dyDescent="0.3"/>
    <row r="406" s="7" customFormat="1" ht="14.25" customHeight="1" x14ac:dyDescent="0.3"/>
    <row r="407" s="7" customFormat="1" ht="14.25" customHeight="1" x14ac:dyDescent="0.3"/>
    <row r="408" s="7" customFormat="1" ht="14.25" customHeight="1" x14ac:dyDescent="0.3"/>
    <row r="409" s="7" customFormat="1" ht="14.25" customHeight="1" x14ac:dyDescent="0.3"/>
    <row r="410" s="7" customFormat="1" ht="14.25" customHeight="1" x14ac:dyDescent="0.3"/>
    <row r="411" s="7" customFormat="1" ht="14.25" customHeight="1" x14ac:dyDescent="0.3"/>
    <row r="412" s="7" customFormat="1" ht="14.25" customHeight="1" x14ac:dyDescent="0.3"/>
    <row r="413" s="7" customFormat="1" ht="14.25" customHeight="1" x14ac:dyDescent="0.3"/>
    <row r="414" s="7" customFormat="1" ht="14.25" customHeight="1" x14ac:dyDescent="0.3"/>
    <row r="415" s="7" customFormat="1" ht="14.25" customHeight="1" x14ac:dyDescent="0.3"/>
    <row r="416" s="7" customFormat="1" ht="14.25" customHeight="1" x14ac:dyDescent="0.3"/>
    <row r="417" s="7" customFormat="1" ht="14.25" customHeight="1" x14ac:dyDescent="0.3"/>
    <row r="418" s="7" customFormat="1" ht="14.25" customHeight="1" x14ac:dyDescent="0.3"/>
    <row r="419" s="7" customFormat="1" ht="14.25" customHeight="1" x14ac:dyDescent="0.3"/>
    <row r="420" s="7" customFormat="1" ht="14.25" customHeight="1" x14ac:dyDescent="0.3"/>
    <row r="421" s="7" customFormat="1" ht="14.25" customHeight="1" x14ac:dyDescent="0.3"/>
    <row r="422" s="7" customFormat="1" ht="14.25" customHeight="1" x14ac:dyDescent="0.3"/>
    <row r="423" s="7" customFormat="1" ht="14.25" customHeight="1" x14ac:dyDescent="0.3"/>
    <row r="424" s="7" customFormat="1" ht="14.25" customHeight="1" x14ac:dyDescent="0.3"/>
    <row r="425" s="7" customFormat="1" ht="14.25" customHeight="1" x14ac:dyDescent="0.3"/>
    <row r="426" s="7" customFormat="1" ht="14.25" customHeight="1" x14ac:dyDescent="0.3"/>
    <row r="427" s="7" customFormat="1" ht="14.25" customHeight="1" x14ac:dyDescent="0.3"/>
    <row r="428" s="7" customFormat="1" ht="14.25" customHeight="1" x14ac:dyDescent="0.3"/>
    <row r="429" s="7" customFormat="1" ht="14.25" customHeight="1" x14ac:dyDescent="0.3"/>
    <row r="430" s="7" customFormat="1" ht="14.25" customHeight="1" x14ac:dyDescent="0.3"/>
    <row r="431" s="7" customFormat="1" ht="14.25" customHeight="1" x14ac:dyDescent="0.3"/>
    <row r="432" s="7" customFormat="1" ht="14.25" customHeight="1" x14ac:dyDescent="0.3"/>
    <row r="433" s="7" customFormat="1" ht="14.25" customHeight="1" x14ac:dyDescent="0.3"/>
    <row r="434" s="7" customFormat="1" ht="14.25" customHeight="1" x14ac:dyDescent="0.3"/>
    <row r="435" s="7" customFormat="1" ht="14.25" customHeight="1" x14ac:dyDescent="0.3"/>
    <row r="436" s="7" customFormat="1" ht="14.25" customHeight="1" x14ac:dyDescent="0.3"/>
    <row r="437" s="7" customFormat="1" ht="14.25" customHeight="1" x14ac:dyDescent="0.3"/>
    <row r="438" s="7" customFormat="1" ht="14.25" customHeight="1" x14ac:dyDescent="0.3"/>
    <row r="439" s="7" customFormat="1" ht="14.25" customHeight="1" x14ac:dyDescent="0.3"/>
    <row r="440" s="7" customFormat="1" ht="14.25" customHeight="1" x14ac:dyDescent="0.3"/>
    <row r="441" s="7" customFormat="1" ht="14.25" customHeight="1" x14ac:dyDescent="0.3"/>
    <row r="442" s="7" customFormat="1" ht="14.25" customHeight="1" x14ac:dyDescent="0.3"/>
    <row r="443" s="7" customFormat="1" ht="14.25" customHeight="1" x14ac:dyDescent="0.3"/>
    <row r="444" s="7" customFormat="1" ht="14.25" customHeight="1" x14ac:dyDescent="0.3"/>
    <row r="445" s="7" customFormat="1" ht="14.25" customHeight="1" x14ac:dyDescent="0.3"/>
    <row r="446" s="7" customFormat="1" ht="14.25" customHeight="1" x14ac:dyDescent="0.3"/>
    <row r="447" s="7" customFormat="1" ht="14.25" customHeight="1" x14ac:dyDescent="0.3"/>
    <row r="448" s="7" customFormat="1" ht="14.25" customHeight="1" x14ac:dyDescent="0.3"/>
    <row r="449" s="7" customFormat="1" ht="14.25" customHeight="1" x14ac:dyDescent="0.3"/>
    <row r="450" s="7" customFormat="1" ht="14.25" customHeight="1" x14ac:dyDescent="0.3"/>
    <row r="451" s="7" customFormat="1" ht="14.25" customHeight="1" x14ac:dyDescent="0.3"/>
    <row r="452" s="7" customFormat="1" ht="14.25" customHeight="1" x14ac:dyDescent="0.3"/>
    <row r="453" s="7" customFormat="1" ht="14.25" customHeight="1" x14ac:dyDescent="0.3"/>
    <row r="454" s="7" customFormat="1" ht="14.25" customHeight="1" x14ac:dyDescent="0.3"/>
    <row r="455" s="7" customFormat="1" ht="14.25" customHeight="1" x14ac:dyDescent="0.3"/>
    <row r="456" s="7" customFormat="1" ht="14.25" customHeight="1" x14ac:dyDescent="0.3"/>
    <row r="457" s="7" customFormat="1" ht="14.25" customHeight="1" x14ac:dyDescent="0.3"/>
    <row r="458" s="7" customFormat="1" ht="14.25" customHeight="1" x14ac:dyDescent="0.3"/>
    <row r="459" s="7" customFormat="1" ht="14.25" customHeight="1" x14ac:dyDescent="0.3"/>
    <row r="460" s="7" customFormat="1" ht="14.25" customHeight="1" x14ac:dyDescent="0.3"/>
    <row r="461" s="7" customFormat="1" ht="14.25" customHeight="1" x14ac:dyDescent="0.3"/>
    <row r="462" s="7" customFormat="1" ht="14.25" customHeight="1" x14ac:dyDescent="0.3"/>
    <row r="463" s="7" customFormat="1" ht="14.25" customHeight="1" x14ac:dyDescent="0.3"/>
    <row r="464" s="7" customFormat="1" ht="14.25" customHeight="1" x14ac:dyDescent="0.3"/>
    <row r="465" s="7" customFormat="1" ht="14.25" customHeight="1" x14ac:dyDescent="0.3"/>
    <row r="466" s="7" customFormat="1" ht="14.25" customHeight="1" x14ac:dyDescent="0.3"/>
    <row r="467" s="7" customFormat="1" ht="14.25" customHeight="1" x14ac:dyDescent="0.3"/>
    <row r="468" s="7" customFormat="1" ht="14.25" customHeight="1" x14ac:dyDescent="0.3"/>
    <row r="469" s="7" customFormat="1" ht="14.25" customHeight="1" x14ac:dyDescent="0.3"/>
    <row r="470" s="7" customFormat="1" ht="14.25" customHeight="1" x14ac:dyDescent="0.3"/>
    <row r="471" s="7" customFormat="1" ht="14.25" customHeight="1" x14ac:dyDescent="0.3"/>
    <row r="472" s="7" customFormat="1" ht="14.25" customHeight="1" x14ac:dyDescent="0.3"/>
    <row r="473" s="7" customFormat="1" ht="14.25" customHeight="1" x14ac:dyDescent="0.3"/>
    <row r="474" s="7" customFormat="1" ht="14.25" customHeight="1" x14ac:dyDescent="0.3"/>
    <row r="475" s="7" customFormat="1" ht="14.25" customHeight="1" x14ac:dyDescent="0.3"/>
    <row r="476" s="7" customFormat="1" ht="14.25" customHeight="1" x14ac:dyDescent="0.3"/>
    <row r="477" s="7" customFormat="1" ht="14.25" customHeight="1" x14ac:dyDescent="0.3"/>
    <row r="478" s="7" customFormat="1" ht="14.25" customHeight="1" x14ac:dyDescent="0.3"/>
    <row r="479" s="7" customFormat="1" ht="14.25" customHeight="1" x14ac:dyDescent="0.3"/>
    <row r="480" s="7" customFormat="1" ht="14.25" customHeight="1" x14ac:dyDescent="0.3"/>
    <row r="481" s="7" customFormat="1" ht="14.25" customHeight="1" x14ac:dyDescent="0.3"/>
    <row r="482" s="7" customFormat="1" ht="14.25" customHeight="1" x14ac:dyDescent="0.3"/>
    <row r="483" s="7" customFormat="1" ht="14.25" customHeight="1" x14ac:dyDescent="0.3"/>
    <row r="484" s="7" customFormat="1" ht="14.25" customHeight="1" x14ac:dyDescent="0.3"/>
    <row r="485" s="7" customFormat="1" ht="14.25" customHeight="1" x14ac:dyDescent="0.3"/>
    <row r="486" s="7" customFormat="1" ht="14.25" customHeight="1" x14ac:dyDescent="0.3"/>
    <row r="487" s="7" customFormat="1" ht="14.25" customHeight="1" x14ac:dyDescent="0.3"/>
    <row r="488" s="7" customFormat="1" ht="14.25" customHeight="1" x14ac:dyDescent="0.3"/>
    <row r="489" s="7" customFormat="1" ht="14.25" customHeight="1" x14ac:dyDescent="0.3"/>
    <row r="490" s="7" customFormat="1" ht="14.25" customHeight="1" x14ac:dyDescent="0.3"/>
    <row r="491" s="7" customFormat="1" ht="14.25" customHeight="1" x14ac:dyDescent="0.3"/>
    <row r="492" s="7" customFormat="1" ht="14.25" customHeight="1" x14ac:dyDescent="0.3"/>
    <row r="493" s="7" customFormat="1" ht="14.25" customHeight="1" x14ac:dyDescent="0.3"/>
    <row r="494" s="7" customFormat="1" ht="14.25" customHeight="1" x14ac:dyDescent="0.3"/>
    <row r="495" s="7" customFormat="1" ht="14.25" customHeight="1" x14ac:dyDescent="0.3"/>
    <row r="496" s="7" customFormat="1" ht="14.25" customHeight="1" x14ac:dyDescent="0.3"/>
    <row r="497" s="7" customFormat="1" ht="14.25" customHeight="1" x14ac:dyDescent="0.3"/>
    <row r="498" s="7" customFormat="1" ht="14.25" customHeight="1" x14ac:dyDescent="0.3"/>
    <row r="499" s="7" customFormat="1" ht="14.25" customHeight="1" x14ac:dyDescent="0.3"/>
    <row r="500" s="7" customFormat="1" ht="14.25" customHeight="1" x14ac:dyDescent="0.3"/>
    <row r="501" s="7" customFormat="1" ht="14.25" customHeight="1" x14ac:dyDescent="0.3"/>
    <row r="502" s="7" customFormat="1" ht="14.25" customHeight="1" x14ac:dyDescent="0.3"/>
    <row r="503" s="7" customFormat="1" ht="14.25" customHeight="1" x14ac:dyDescent="0.3"/>
    <row r="504" s="7" customFormat="1" ht="14.25" customHeight="1" x14ac:dyDescent="0.3"/>
    <row r="505" s="7" customFormat="1" ht="14.25" customHeight="1" x14ac:dyDescent="0.3"/>
    <row r="506" s="7" customFormat="1" ht="14.25" customHeight="1" x14ac:dyDescent="0.3"/>
    <row r="507" s="7" customFormat="1" ht="14.25" customHeight="1" x14ac:dyDescent="0.3"/>
    <row r="508" s="7" customFormat="1" ht="14.25" customHeight="1" x14ac:dyDescent="0.3"/>
    <row r="509" s="7" customFormat="1" ht="14.25" customHeight="1" x14ac:dyDescent="0.3"/>
    <row r="510" s="7" customFormat="1" ht="14.25" customHeight="1" x14ac:dyDescent="0.3"/>
    <row r="511" s="7" customFormat="1" ht="14.25" customHeight="1" x14ac:dyDescent="0.3"/>
    <row r="512" s="7" customFormat="1" ht="14.25" customHeight="1" x14ac:dyDescent="0.3"/>
    <row r="513" s="7" customFormat="1" ht="14.25" customHeight="1" x14ac:dyDescent="0.3"/>
    <row r="514" s="7" customFormat="1" ht="14.25" customHeight="1" x14ac:dyDescent="0.3"/>
    <row r="515" s="7" customFormat="1" ht="14.25" customHeight="1" x14ac:dyDescent="0.3"/>
    <row r="516" s="7" customFormat="1" ht="14.25" customHeight="1" x14ac:dyDescent="0.3"/>
    <row r="517" s="7" customFormat="1" ht="14.25" customHeight="1" x14ac:dyDescent="0.3"/>
    <row r="518" s="7" customFormat="1" ht="14.25" customHeight="1" x14ac:dyDescent="0.3"/>
    <row r="519" s="7" customFormat="1" ht="14.25" customHeight="1" x14ac:dyDescent="0.3"/>
    <row r="520" s="7" customFormat="1" ht="14.25" customHeight="1" x14ac:dyDescent="0.3"/>
    <row r="521" s="7" customFormat="1" ht="14.25" customHeight="1" x14ac:dyDescent="0.3"/>
    <row r="522" s="7" customFormat="1" ht="14.25" customHeight="1" x14ac:dyDescent="0.3"/>
    <row r="523" s="7" customFormat="1" ht="14.25" customHeight="1" x14ac:dyDescent="0.3"/>
    <row r="524" s="7" customFormat="1" ht="14.25" customHeight="1" x14ac:dyDescent="0.3"/>
    <row r="525" s="7" customFormat="1" ht="14.25" customHeight="1" x14ac:dyDescent="0.3"/>
    <row r="526" s="7" customFormat="1" ht="14.25" customHeight="1" x14ac:dyDescent="0.3"/>
    <row r="527" s="7" customFormat="1" ht="14.25" customHeight="1" x14ac:dyDescent="0.3"/>
    <row r="528" s="7" customFormat="1" ht="14.25" customHeight="1" x14ac:dyDescent="0.3"/>
    <row r="529" s="7" customFormat="1" ht="14.25" customHeight="1" x14ac:dyDescent="0.3"/>
    <row r="530" s="7" customFormat="1" ht="14.25" customHeight="1" x14ac:dyDescent="0.3"/>
    <row r="531" s="7" customFormat="1" ht="14.25" customHeight="1" x14ac:dyDescent="0.3"/>
    <row r="532" s="7" customFormat="1" ht="14.25" customHeight="1" x14ac:dyDescent="0.3"/>
    <row r="533" s="7" customFormat="1" ht="14.25" customHeight="1" x14ac:dyDescent="0.3"/>
    <row r="534" s="7" customFormat="1" ht="14.25" customHeight="1" x14ac:dyDescent="0.3"/>
    <row r="535" s="7" customFormat="1" ht="14.25" customHeight="1" x14ac:dyDescent="0.3"/>
    <row r="536" s="7" customFormat="1" ht="14.25" customHeight="1" x14ac:dyDescent="0.3"/>
    <row r="537" s="7" customFormat="1" ht="14.25" customHeight="1" x14ac:dyDescent="0.3"/>
    <row r="538" s="7" customFormat="1" ht="14.25" customHeight="1" x14ac:dyDescent="0.3"/>
    <row r="539" s="7" customFormat="1" ht="14.25" customHeight="1" x14ac:dyDescent="0.3"/>
    <row r="540" s="7" customFormat="1" ht="14.25" customHeight="1" x14ac:dyDescent="0.3"/>
    <row r="541" s="7" customFormat="1" ht="14.25" customHeight="1" x14ac:dyDescent="0.3"/>
    <row r="542" s="7" customFormat="1" ht="14.25" customHeight="1" x14ac:dyDescent="0.3"/>
    <row r="543" s="7" customFormat="1" ht="14.25" customHeight="1" x14ac:dyDescent="0.3"/>
    <row r="544" s="7" customFormat="1" ht="14.25" customHeight="1" x14ac:dyDescent="0.3"/>
    <row r="545" s="7" customFormat="1" ht="14.25" customHeight="1" x14ac:dyDescent="0.3"/>
    <row r="546" s="7" customFormat="1" ht="14.25" customHeight="1" x14ac:dyDescent="0.3"/>
    <row r="547" s="7" customFormat="1" ht="14.25" customHeight="1" x14ac:dyDescent="0.3"/>
    <row r="548" s="7" customFormat="1" ht="14.25" customHeight="1" x14ac:dyDescent="0.3"/>
    <row r="549" s="7" customFormat="1" ht="14.25" customHeight="1" x14ac:dyDescent="0.3"/>
    <row r="550" s="7" customFormat="1" ht="14.25" customHeight="1" x14ac:dyDescent="0.3"/>
    <row r="551" s="7" customFormat="1" ht="14.25" customHeight="1" x14ac:dyDescent="0.3"/>
    <row r="552" s="7" customFormat="1" ht="14.25" customHeight="1" x14ac:dyDescent="0.3"/>
    <row r="553" s="7" customFormat="1" ht="14.25" customHeight="1" x14ac:dyDescent="0.3"/>
    <row r="554" s="7" customFormat="1" ht="14.25" customHeight="1" x14ac:dyDescent="0.3"/>
    <row r="555" s="7" customFormat="1" ht="14.25" customHeight="1" x14ac:dyDescent="0.3"/>
    <row r="556" s="7" customFormat="1" ht="14.25" customHeight="1" x14ac:dyDescent="0.3"/>
    <row r="557" s="7" customFormat="1" ht="14.25" customHeight="1" x14ac:dyDescent="0.3"/>
    <row r="558" s="7" customFormat="1" ht="14.25" customHeight="1" x14ac:dyDescent="0.3"/>
    <row r="559" s="7" customFormat="1" ht="14.25" customHeight="1" x14ac:dyDescent="0.3"/>
    <row r="560" s="7" customFormat="1" ht="14.25" customHeight="1" x14ac:dyDescent="0.3"/>
    <row r="561" s="7" customFormat="1" ht="14.25" customHeight="1" x14ac:dyDescent="0.3"/>
    <row r="562" s="7" customFormat="1" ht="14.25" customHeight="1" x14ac:dyDescent="0.3"/>
    <row r="563" s="7" customFormat="1" ht="14.25" customHeight="1" x14ac:dyDescent="0.3"/>
    <row r="564" s="7" customFormat="1" ht="14.25" customHeight="1" x14ac:dyDescent="0.3"/>
    <row r="565" s="7" customFormat="1" ht="14.25" customHeight="1" x14ac:dyDescent="0.3"/>
    <row r="566" s="7" customFormat="1" ht="14.25" customHeight="1" x14ac:dyDescent="0.3"/>
    <row r="567" s="7" customFormat="1" ht="14.25" customHeight="1" x14ac:dyDescent="0.3"/>
    <row r="568" s="7" customFormat="1" ht="14.25" customHeight="1" x14ac:dyDescent="0.3"/>
    <row r="569" s="7" customFormat="1" ht="14.25" customHeight="1" x14ac:dyDescent="0.3"/>
    <row r="570" s="7" customFormat="1" ht="14.25" customHeight="1" x14ac:dyDescent="0.3"/>
    <row r="571" s="7" customFormat="1" ht="14.25" customHeight="1" x14ac:dyDescent="0.3"/>
    <row r="572" s="7" customFormat="1" ht="14.25" customHeight="1" x14ac:dyDescent="0.3"/>
    <row r="573" s="7" customFormat="1" ht="14.25" customHeight="1" x14ac:dyDescent="0.3"/>
    <row r="574" s="7" customFormat="1" ht="14.25" customHeight="1" x14ac:dyDescent="0.3"/>
    <row r="575" s="7" customFormat="1" ht="14.25" customHeight="1" x14ac:dyDescent="0.3"/>
    <row r="576" s="7" customFormat="1" ht="14.25" customHeight="1" x14ac:dyDescent="0.3"/>
    <row r="577" s="7" customFormat="1" ht="14.25" customHeight="1" x14ac:dyDescent="0.3"/>
    <row r="578" s="7" customFormat="1" ht="14.25" customHeight="1" x14ac:dyDescent="0.3"/>
    <row r="579" s="7" customFormat="1" ht="14.25" customHeight="1" x14ac:dyDescent="0.3"/>
    <row r="580" s="7" customFormat="1" ht="14.25" customHeight="1" x14ac:dyDescent="0.3"/>
    <row r="581" s="7" customFormat="1" ht="14.25" customHeight="1" x14ac:dyDescent="0.3"/>
    <row r="582" s="7" customFormat="1" ht="14.25" customHeight="1" x14ac:dyDescent="0.3"/>
    <row r="583" s="7" customFormat="1" ht="14.25" customHeight="1" x14ac:dyDescent="0.3"/>
    <row r="584" s="7" customFormat="1" ht="14.25" customHeight="1" x14ac:dyDescent="0.3"/>
    <row r="585" s="7" customFormat="1" ht="14.25" customHeight="1" x14ac:dyDescent="0.3"/>
    <row r="586" s="7" customFormat="1" ht="14.25" customHeight="1" x14ac:dyDescent="0.3"/>
    <row r="587" s="7" customFormat="1" ht="14.25" customHeight="1" x14ac:dyDescent="0.3"/>
    <row r="588" s="7" customFormat="1" ht="14.25" customHeight="1" x14ac:dyDescent="0.3"/>
    <row r="589" s="7" customFormat="1" ht="14.25" customHeight="1" x14ac:dyDescent="0.3"/>
    <row r="590" s="7" customFormat="1" ht="14.25" customHeight="1" x14ac:dyDescent="0.3"/>
    <row r="591" s="7" customFormat="1" ht="14.25" customHeight="1" x14ac:dyDescent="0.3"/>
    <row r="592" s="7" customFormat="1" ht="14.25" customHeight="1" x14ac:dyDescent="0.3"/>
    <row r="593" s="7" customFormat="1" ht="14.25" customHeight="1" x14ac:dyDescent="0.3"/>
    <row r="594" s="7" customFormat="1" ht="14.25" customHeight="1" x14ac:dyDescent="0.3"/>
    <row r="595" s="7" customFormat="1" ht="14.25" customHeight="1" x14ac:dyDescent="0.3"/>
    <row r="596" s="7" customFormat="1" ht="14.25" customHeight="1" x14ac:dyDescent="0.3"/>
    <row r="597" s="7" customFormat="1" ht="14.25" customHeight="1" x14ac:dyDescent="0.3"/>
    <row r="598" s="7" customFormat="1" ht="14.25" customHeight="1" x14ac:dyDescent="0.3"/>
    <row r="599" s="7" customFormat="1" ht="14.25" customHeight="1" x14ac:dyDescent="0.3"/>
    <row r="600" s="7" customFormat="1" ht="14.25" customHeight="1" x14ac:dyDescent="0.3"/>
    <row r="601" s="7" customFormat="1" ht="14.25" customHeight="1" x14ac:dyDescent="0.3"/>
    <row r="602" s="7" customFormat="1" ht="14.25" customHeight="1" x14ac:dyDescent="0.3"/>
    <row r="603" s="7" customFormat="1" ht="14.25" customHeight="1" x14ac:dyDescent="0.3"/>
    <row r="604" s="7" customFormat="1" ht="14.25" customHeight="1" x14ac:dyDescent="0.3"/>
    <row r="605" s="7" customFormat="1" ht="14.25" customHeight="1" x14ac:dyDescent="0.3"/>
    <row r="606" s="7" customFormat="1" ht="14.25" customHeight="1" x14ac:dyDescent="0.3"/>
    <row r="607" s="7" customFormat="1" ht="14.25" customHeight="1" x14ac:dyDescent="0.3"/>
    <row r="608" s="7" customFormat="1" ht="14.25" customHeight="1" x14ac:dyDescent="0.3"/>
    <row r="609" s="7" customFormat="1" ht="14.25" customHeight="1" x14ac:dyDescent="0.3"/>
    <row r="610" s="7" customFormat="1" ht="14.25" customHeight="1" x14ac:dyDescent="0.3"/>
    <row r="611" s="7" customFormat="1" ht="14.25" customHeight="1" x14ac:dyDescent="0.3"/>
    <row r="612" s="7" customFormat="1" ht="14.25" customHeight="1" x14ac:dyDescent="0.3"/>
    <row r="613" s="7" customFormat="1" ht="14.25" customHeight="1" x14ac:dyDescent="0.3"/>
    <row r="614" s="7" customFormat="1" ht="14.25" customHeight="1" x14ac:dyDescent="0.3"/>
    <row r="615" s="7" customFormat="1" ht="14.25" customHeight="1" x14ac:dyDescent="0.3"/>
    <row r="616" s="7" customFormat="1" ht="14.25" customHeight="1" x14ac:dyDescent="0.3"/>
    <row r="617" s="7" customFormat="1" ht="14.25" customHeight="1" x14ac:dyDescent="0.3"/>
    <row r="618" s="7" customFormat="1" ht="14.25" customHeight="1" x14ac:dyDescent="0.3"/>
    <row r="619" s="7" customFormat="1" ht="14.25" customHeight="1" x14ac:dyDescent="0.3"/>
    <row r="620" s="7" customFormat="1" ht="14.25" customHeight="1" x14ac:dyDescent="0.3"/>
    <row r="621" s="7" customFormat="1" ht="14.25" customHeight="1" x14ac:dyDescent="0.3"/>
    <row r="622" s="7" customFormat="1" ht="14.25" customHeight="1" x14ac:dyDescent="0.3"/>
    <row r="623" s="7" customFormat="1" ht="14.25" customHeight="1" x14ac:dyDescent="0.3"/>
    <row r="624" s="7" customFormat="1" ht="14.25" customHeight="1" x14ac:dyDescent="0.3"/>
    <row r="625" s="7" customFormat="1" ht="14.25" customHeight="1" x14ac:dyDescent="0.3"/>
    <row r="626" s="7" customFormat="1" ht="14.25" customHeight="1" x14ac:dyDescent="0.3"/>
    <row r="627" s="7" customFormat="1" ht="14.25" customHeight="1" x14ac:dyDescent="0.3"/>
    <row r="628" s="7" customFormat="1" ht="14.25" customHeight="1" x14ac:dyDescent="0.3"/>
    <row r="629" s="7" customFormat="1" ht="14.25" customHeight="1" x14ac:dyDescent="0.3"/>
    <row r="630" s="7" customFormat="1" ht="14.25" customHeight="1" x14ac:dyDescent="0.3"/>
    <row r="631" s="7" customFormat="1" ht="14.25" customHeight="1" x14ac:dyDescent="0.3"/>
    <row r="632" s="7" customFormat="1" ht="14.25" customHeight="1" x14ac:dyDescent="0.3"/>
    <row r="633" s="7" customFormat="1" ht="14.25" customHeight="1" x14ac:dyDescent="0.3"/>
    <row r="634" s="7" customFormat="1" ht="14.25" customHeight="1" x14ac:dyDescent="0.3"/>
    <row r="635" s="7" customFormat="1" ht="14.25" customHeight="1" x14ac:dyDescent="0.3"/>
    <row r="636" s="7" customFormat="1" ht="14.25" customHeight="1" x14ac:dyDescent="0.3"/>
    <row r="637" s="7" customFormat="1" ht="14.25" customHeight="1" x14ac:dyDescent="0.3"/>
    <row r="638" s="7" customFormat="1" ht="14.25" customHeight="1" x14ac:dyDescent="0.3"/>
    <row r="639" s="7" customFormat="1" ht="14.25" customHeight="1" x14ac:dyDescent="0.3"/>
    <row r="640" s="7" customFormat="1" ht="14.25" customHeight="1" x14ac:dyDescent="0.3"/>
    <row r="641" s="7" customFormat="1" ht="14.25" customHeight="1" x14ac:dyDescent="0.3"/>
    <row r="642" s="7" customFormat="1" ht="14.25" customHeight="1" x14ac:dyDescent="0.3"/>
    <row r="643" s="7" customFormat="1" ht="14.25" customHeight="1" x14ac:dyDescent="0.3"/>
    <row r="644" s="7" customFormat="1" ht="14.25" customHeight="1" x14ac:dyDescent="0.3"/>
    <row r="645" s="7" customFormat="1" ht="14.25" customHeight="1" x14ac:dyDescent="0.3"/>
    <row r="646" s="7" customFormat="1" ht="14.25" customHeight="1" x14ac:dyDescent="0.3"/>
    <row r="647" s="7" customFormat="1" ht="14.25" customHeight="1" x14ac:dyDescent="0.3"/>
    <row r="648" s="7" customFormat="1" ht="14.25" customHeight="1" x14ac:dyDescent="0.3"/>
    <row r="649" s="7" customFormat="1" ht="14.25" customHeight="1" x14ac:dyDescent="0.3"/>
    <row r="650" s="7" customFormat="1" ht="14.25" customHeight="1" x14ac:dyDescent="0.3"/>
    <row r="651" s="7" customFormat="1" ht="14.25" customHeight="1" x14ac:dyDescent="0.3"/>
    <row r="652" s="7" customFormat="1" ht="14.25" customHeight="1" x14ac:dyDescent="0.3"/>
    <row r="653" s="7" customFormat="1" ht="14.25" customHeight="1" x14ac:dyDescent="0.3"/>
    <row r="654" s="7" customFormat="1" ht="14.25" customHeight="1" x14ac:dyDescent="0.3"/>
    <row r="655" s="7" customFormat="1" ht="14.25" customHeight="1" x14ac:dyDescent="0.3"/>
    <row r="656" s="7" customFormat="1" ht="14.25" customHeight="1" x14ac:dyDescent="0.3"/>
    <row r="657" s="7" customFormat="1" ht="14.25" customHeight="1" x14ac:dyDescent="0.3"/>
    <row r="658" s="7" customFormat="1" ht="14.25" customHeight="1" x14ac:dyDescent="0.3"/>
    <row r="659" s="7" customFormat="1" ht="14.25" customHeight="1" x14ac:dyDescent="0.3"/>
    <row r="660" s="7" customFormat="1" ht="14.25" customHeight="1" x14ac:dyDescent="0.3"/>
    <row r="661" s="7" customFormat="1" ht="14.25" customHeight="1" x14ac:dyDescent="0.3"/>
    <row r="662" s="7" customFormat="1" ht="14.25" customHeight="1" x14ac:dyDescent="0.3"/>
    <row r="663" s="7" customFormat="1" ht="14.25" customHeight="1" x14ac:dyDescent="0.3"/>
    <row r="664" s="7" customFormat="1" ht="14.25" customHeight="1" x14ac:dyDescent="0.3"/>
    <row r="665" s="7" customFormat="1" ht="14.25" customHeight="1" x14ac:dyDescent="0.3"/>
    <row r="666" s="7" customFormat="1" ht="14.25" customHeight="1" x14ac:dyDescent="0.3"/>
    <row r="667" s="7" customFormat="1" ht="14.25" customHeight="1" x14ac:dyDescent="0.3"/>
    <row r="668" s="7" customFormat="1" ht="14.25" customHeight="1" x14ac:dyDescent="0.3"/>
    <row r="669" s="7" customFormat="1" ht="14.25" customHeight="1" x14ac:dyDescent="0.3"/>
    <row r="670" s="7" customFormat="1" ht="14.25" customHeight="1" x14ac:dyDescent="0.3"/>
    <row r="671" s="7" customFormat="1" ht="14.25" customHeight="1" x14ac:dyDescent="0.3"/>
    <row r="672" s="7" customFormat="1" ht="14.25" customHeight="1" x14ac:dyDescent="0.3"/>
    <row r="673" s="7" customFormat="1" ht="14.25" customHeight="1" x14ac:dyDescent="0.3"/>
    <row r="674" s="7" customFormat="1" ht="14.25" customHeight="1" x14ac:dyDescent="0.3"/>
    <row r="675" s="7" customFormat="1" ht="14.25" customHeight="1" x14ac:dyDescent="0.3"/>
    <row r="676" s="7" customFormat="1" ht="14.25" customHeight="1" x14ac:dyDescent="0.3"/>
    <row r="677" s="7" customFormat="1" ht="14.25" customHeight="1" x14ac:dyDescent="0.3"/>
    <row r="678" s="7" customFormat="1" ht="14.25" customHeight="1" x14ac:dyDescent="0.3"/>
    <row r="679" s="7" customFormat="1" ht="14.25" customHeight="1" x14ac:dyDescent="0.3"/>
    <row r="680" s="7" customFormat="1" ht="14.25" customHeight="1" x14ac:dyDescent="0.3"/>
    <row r="681" s="7" customFormat="1" ht="14.25" customHeight="1" x14ac:dyDescent="0.3"/>
    <row r="682" s="7" customFormat="1" ht="14.25" customHeight="1" x14ac:dyDescent="0.3"/>
    <row r="683" s="7" customFormat="1" ht="14.25" customHeight="1" x14ac:dyDescent="0.3"/>
    <row r="684" s="7" customFormat="1" ht="14.25" customHeight="1" x14ac:dyDescent="0.3"/>
    <row r="685" s="7" customFormat="1" ht="14.25" customHeight="1" x14ac:dyDescent="0.3"/>
    <row r="686" s="7" customFormat="1" ht="14.25" customHeight="1" x14ac:dyDescent="0.3"/>
    <row r="687" s="7" customFormat="1" ht="14.25" customHeight="1" x14ac:dyDescent="0.3"/>
    <row r="688" s="7" customFormat="1" ht="14.25" customHeight="1" x14ac:dyDescent="0.3"/>
    <row r="689" s="7" customFormat="1" ht="14.25" customHeight="1" x14ac:dyDescent="0.3"/>
    <row r="690" s="7" customFormat="1" ht="14.25" customHeight="1" x14ac:dyDescent="0.3"/>
    <row r="691" s="7" customFormat="1" ht="14.25" customHeight="1" x14ac:dyDescent="0.3"/>
    <row r="692" s="7" customFormat="1" ht="14.25" customHeight="1" x14ac:dyDescent="0.3"/>
    <row r="693" s="7" customFormat="1" ht="14.25" customHeight="1" x14ac:dyDescent="0.3"/>
    <row r="694" s="7" customFormat="1" ht="14.25" customHeight="1" x14ac:dyDescent="0.3"/>
    <row r="695" s="7" customFormat="1" ht="14.25" customHeight="1" x14ac:dyDescent="0.3"/>
    <row r="696" s="7" customFormat="1" ht="14.25" customHeight="1" x14ac:dyDescent="0.3"/>
    <row r="697" s="7" customFormat="1" ht="14.25" customHeight="1" x14ac:dyDescent="0.3"/>
    <row r="698" s="7" customFormat="1" ht="14.25" customHeight="1" x14ac:dyDescent="0.3"/>
    <row r="699" s="7" customFormat="1" ht="14.25" customHeight="1" x14ac:dyDescent="0.3"/>
    <row r="700" s="7" customFormat="1" ht="14.25" customHeight="1" x14ac:dyDescent="0.3"/>
    <row r="701" s="7" customFormat="1" ht="14.25" customHeight="1" x14ac:dyDescent="0.3"/>
    <row r="702" s="7" customFormat="1" ht="14.25" customHeight="1" x14ac:dyDescent="0.3"/>
    <row r="703" s="7" customFormat="1" ht="14.25" customHeight="1" x14ac:dyDescent="0.3"/>
    <row r="704" s="7" customFormat="1" ht="14.25" customHeight="1" x14ac:dyDescent="0.3"/>
    <row r="705" s="7" customFormat="1" ht="14.25" customHeight="1" x14ac:dyDescent="0.3"/>
    <row r="706" s="7" customFormat="1" ht="14.25" customHeight="1" x14ac:dyDescent="0.3"/>
    <row r="707" s="7" customFormat="1" ht="14.25" customHeight="1" x14ac:dyDescent="0.3"/>
    <row r="708" s="7" customFormat="1" ht="14.25" customHeight="1" x14ac:dyDescent="0.3"/>
    <row r="709" s="7" customFormat="1" ht="14.25" customHeight="1" x14ac:dyDescent="0.3"/>
    <row r="710" s="7" customFormat="1" ht="14.25" customHeight="1" x14ac:dyDescent="0.3"/>
    <row r="711" s="7" customFormat="1" ht="14.25" customHeight="1" x14ac:dyDescent="0.3"/>
    <row r="712" s="7" customFormat="1" ht="14.25" customHeight="1" x14ac:dyDescent="0.3"/>
    <row r="713" s="7" customFormat="1" ht="14.25" customHeight="1" x14ac:dyDescent="0.3"/>
    <row r="714" s="7" customFormat="1" ht="14.25" customHeight="1" x14ac:dyDescent="0.3"/>
    <row r="715" s="7" customFormat="1" ht="14.25" customHeight="1" x14ac:dyDescent="0.3"/>
    <row r="716" s="7" customFormat="1" ht="14.25" customHeight="1" x14ac:dyDescent="0.3"/>
    <row r="717" s="7" customFormat="1" ht="14.25" customHeight="1" x14ac:dyDescent="0.3"/>
    <row r="718" s="7" customFormat="1" ht="14.25" customHeight="1" x14ac:dyDescent="0.3"/>
    <row r="719" s="7" customFormat="1" ht="14.25" customHeight="1" x14ac:dyDescent="0.3"/>
    <row r="720" s="7" customFormat="1" ht="14.25" customHeight="1" x14ac:dyDescent="0.3"/>
    <row r="721" s="7" customFormat="1" ht="14.25" customHeight="1" x14ac:dyDescent="0.3"/>
    <row r="722" s="7" customFormat="1" ht="14.25" customHeight="1" x14ac:dyDescent="0.3"/>
    <row r="723" s="7" customFormat="1" ht="14.25" customHeight="1" x14ac:dyDescent="0.3"/>
    <row r="724" s="7" customFormat="1" ht="14.25" customHeight="1" x14ac:dyDescent="0.3"/>
    <row r="725" s="7" customFormat="1" ht="14.25" customHeight="1" x14ac:dyDescent="0.3"/>
    <row r="726" s="7" customFormat="1" ht="14.25" customHeight="1" x14ac:dyDescent="0.3"/>
    <row r="727" s="7" customFormat="1" ht="14.25" customHeight="1" x14ac:dyDescent="0.3"/>
    <row r="728" s="7" customFormat="1" ht="14.25" customHeight="1" x14ac:dyDescent="0.3"/>
    <row r="729" s="7" customFormat="1" ht="14.25" customHeight="1" x14ac:dyDescent="0.3"/>
    <row r="730" s="7" customFormat="1" ht="14.25" customHeight="1" x14ac:dyDescent="0.3"/>
    <row r="731" s="7" customFormat="1" ht="14.25" customHeight="1" x14ac:dyDescent="0.3"/>
    <row r="732" s="7" customFormat="1" ht="14.25" customHeight="1" x14ac:dyDescent="0.3"/>
    <row r="733" s="7" customFormat="1" ht="14.25" customHeight="1" x14ac:dyDescent="0.3"/>
    <row r="734" s="7" customFormat="1" ht="14.25" customHeight="1" x14ac:dyDescent="0.3"/>
    <row r="735" s="7" customFormat="1" ht="14.25" customHeight="1" x14ac:dyDescent="0.3"/>
    <row r="736" s="7" customFormat="1" ht="14.25" customHeight="1" x14ac:dyDescent="0.3"/>
    <row r="737" s="7" customFormat="1" ht="14.25" customHeight="1" x14ac:dyDescent="0.3"/>
    <row r="738" s="7" customFormat="1" ht="14.25" customHeight="1" x14ac:dyDescent="0.3"/>
    <row r="739" s="7" customFormat="1" ht="14.25" customHeight="1" x14ac:dyDescent="0.3"/>
    <row r="740" s="7" customFormat="1" ht="14.25" customHeight="1" x14ac:dyDescent="0.3"/>
    <row r="741" s="7" customFormat="1" ht="14.25" customHeight="1" x14ac:dyDescent="0.3"/>
    <row r="742" s="7" customFormat="1" ht="14.25" customHeight="1" x14ac:dyDescent="0.3"/>
    <row r="743" s="7" customFormat="1" ht="14.25" customHeight="1" x14ac:dyDescent="0.3"/>
    <row r="744" s="7" customFormat="1" ht="14.25" customHeight="1" x14ac:dyDescent="0.3"/>
    <row r="745" s="7" customFormat="1" ht="14.25" customHeight="1" x14ac:dyDescent="0.3"/>
    <row r="746" s="7" customFormat="1" ht="14.25" customHeight="1" x14ac:dyDescent="0.3"/>
    <row r="747" s="7" customFormat="1" ht="14.25" customHeight="1" x14ac:dyDescent="0.3"/>
    <row r="748" s="7" customFormat="1" ht="14.25" customHeight="1" x14ac:dyDescent="0.3"/>
    <row r="749" s="7" customFormat="1" ht="14.25" customHeight="1" x14ac:dyDescent="0.3"/>
    <row r="750" s="7" customFormat="1" ht="14.25" customHeight="1" x14ac:dyDescent="0.3"/>
    <row r="751" s="7" customFormat="1" ht="14.25" customHeight="1" x14ac:dyDescent="0.3"/>
    <row r="752" s="7" customFormat="1" ht="14.25" customHeight="1" x14ac:dyDescent="0.3"/>
    <row r="753" s="7" customFormat="1" ht="14.25" customHeight="1" x14ac:dyDescent="0.3"/>
    <row r="754" s="7" customFormat="1" ht="14.25" customHeight="1" x14ac:dyDescent="0.3"/>
    <row r="755" s="7" customFormat="1" ht="14.25" customHeight="1" x14ac:dyDescent="0.3"/>
    <row r="756" s="7" customFormat="1" ht="14.25" customHeight="1" x14ac:dyDescent="0.3"/>
    <row r="757" s="7" customFormat="1" ht="14.25" customHeight="1" x14ac:dyDescent="0.3"/>
    <row r="758" s="7" customFormat="1" ht="14.25" customHeight="1" x14ac:dyDescent="0.3"/>
    <row r="759" s="7" customFormat="1" ht="14.25" customHeight="1" x14ac:dyDescent="0.3"/>
    <row r="760" s="7" customFormat="1" ht="14.25" customHeight="1" x14ac:dyDescent="0.3"/>
    <row r="761" s="7" customFormat="1" ht="14.25" customHeight="1" x14ac:dyDescent="0.3"/>
    <row r="762" s="7" customFormat="1" ht="14.25" customHeight="1" x14ac:dyDescent="0.3"/>
    <row r="763" s="7" customFormat="1" ht="14.25" customHeight="1" x14ac:dyDescent="0.3"/>
    <row r="764" s="7" customFormat="1" ht="14.25" customHeight="1" x14ac:dyDescent="0.3"/>
    <row r="765" s="7" customFormat="1" ht="14.25" customHeight="1" x14ac:dyDescent="0.3"/>
    <row r="766" s="7" customFormat="1" ht="14.25" customHeight="1" x14ac:dyDescent="0.3"/>
    <row r="767" s="7" customFormat="1" ht="14.25" customHeight="1" x14ac:dyDescent="0.3"/>
    <row r="768" s="7" customFormat="1" ht="14.25" customHeight="1" x14ac:dyDescent="0.3"/>
    <row r="769" s="7" customFormat="1" ht="14.25" customHeight="1" x14ac:dyDescent="0.3"/>
    <row r="770" s="7" customFormat="1" ht="14.25" customHeight="1" x14ac:dyDescent="0.3"/>
    <row r="771" s="7" customFormat="1" ht="14.25" customHeight="1" x14ac:dyDescent="0.3"/>
    <row r="772" s="7" customFormat="1" ht="14.25" customHeight="1" x14ac:dyDescent="0.3"/>
    <row r="773" s="7" customFormat="1" ht="14.25" customHeight="1" x14ac:dyDescent="0.3"/>
    <row r="774" s="7" customFormat="1" ht="14.25" customHeight="1" x14ac:dyDescent="0.3"/>
    <row r="775" s="7" customFormat="1" ht="14.25" customHeight="1" x14ac:dyDescent="0.3"/>
    <row r="776" s="7" customFormat="1" ht="14.25" customHeight="1" x14ac:dyDescent="0.3"/>
    <row r="777" s="7" customFormat="1" ht="14.25" customHeight="1" x14ac:dyDescent="0.3"/>
    <row r="778" s="7" customFormat="1" ht="14.25" customHeight="1" x14ac:dyDescent="0.3"/>
    <row r="779" s="7" customFormat="1" ht="14.25" customHeight="1" x14ac:dyDescent="0.3"/>
    <row r="780" s="7" customFormat="1" ht="14.25" customHeight="1" x14ac:dyDescent="0.3"/>
    <row r="781" s="7" customFormat="1" ht="14.25" customHeight="1" x14ac:dyDescent="0.3"/>
    <row r="782" s="7" customFormat="1" ht="14.25" customHeight="1" x14ac:dyDescent="0.3"/>
    <row r="783" s="7" customFormat="1" ht="14.25" customHeight="1" x14ac:dyDescent="0.3"/>
    <row r="784" s="7" customFormat="1" ht="14.25" customHeight="1" x14ac:dyDescent="0.3"/>
    <row r="785" s="7" customFormat="1" ht="14.25" customHeight="1" x14ac:dyDescent="0.3"/>
    <row r="786" s="7" customFormat="1" ht="14.25" customHeight="1" x14ac:dyDescent="0.3"/>
    <row r="787" s="7" customFormat="1" ht="14.25" customHeight="1" x14ac:dyDescent="0.3"/>
    <row r="788" s="7" customFormat="1" ht="14.25" customHeight="1" x14ac:dyDescent="0.3"/>
    <row r="789" s="7" customFormat="1" ht="14.25" customHeight="1" x14ac:dyDescent="0.3"/>
    <row r="790" s="7" customFormat="1" ht="14.25" customHeight="1" x14ac:dyDescent="0.3"/>
    <row r="791" s="7" customFormat="1" ht="14.25" customHeight="1" x14ac:dyDescent="0.3"/>
    <row r="792" s="7" customFormat="1" ht="14.25" customHeight="1" x14ac:dyDescent="0.3"/>
    <row r="793" s="7" customFormat="1" ht="14.25" customHeight="1" x14ac:dyDescent="0.3"/>
    <row r="794" s="7" customFormat="1" ht="14.25" customHeight="1" x14ac:dyDescent="0.3"/>
    <row r="795" s="7" customFormat="1" ht="14.25" customHeight="1" x14ac:dyDescent="0.3"/>
    <row r="796" s="7" customFormat="1" ht="14.25" customHeight="1" x14ac:dyDescent="0.3"/>
    <row r="797" s="7" customFormat="1" ht="14.25" customHeight="1" x14ac:dyDescent="0.3"/>
    <row r="798" s="7" customFormat="1" ht="14.25" customHeight="1" x14ac:dyDescent="0.3"/>
    <row r="799" s="7" customFormat="1" ht="14.25" customHeight="1" x14ac:dyDescent="0.3"/>
    <row r="800" s="7" customFormat="1" ht="14.25" customHeight="1" x14ac:dyDescent="0.3"/>
    <row r="801" s="7" customFormat="1" ht="14.25" customHeight="1" x14ac:dyDescent="0.3"/>
    <row r="802" s="7" customFormat="1" ht="14.25" customHeight="1" x14ac:dyDescent="0.3"/>
    <row r="803" s="7" customFormat="1" ht="14.25" customHeight="1" x14ac:dyDescent="0.3"/>
    <row r="804" s="7" customFormat="1" ht="14.25" customHeight="1" x14ac:dyDescent="0.3"/>
    <row r="805" s="7" customFormat="1" ht="14.25" customHeight="1" x14ac:dyDescent="0.3"/>
    <row r="806" s="7" customFormat="1" ht="14.25" customHeight="1" x14ac:dyDescent="0.3"/>
    <row r="807" s="7" customFormat="1" ht="14.25" customHeight="1" x14ac:dyDescent="0.3"/>
    <row r="808" s="7" customFormat="1" ht="14.25" customHeight="1" x14ac:dyDescent="0.3"/>
    <row r="809" s="7" customFormat="1" ht="14.25" customHeight="1" x14ac:dyDescent="0.3"/>
    <row r="810" s="7" customFormat="1" ht="14.25" customHeight="1" x14ac:dyDescent="0.3"/>
    <row r="811" s="7" customFormat="1" ht="14.25" customHeight="1" x14ac:dyDescent="0.3"/>
    <row r="812" s="7" customFormat="1" ht="14.25" customHeight="1" x14ac:dyDescent="0.3"/>
    <row r="813" s="7" customFormat="1" ht="14.25" customHeight="1" x14ac:dyDescent="0.3"/>
    <row r="814" s="7" customFormat="1" ht="14.25" customHeight="1" x14ac:dyDescent="0.3"/>
    <row r="815" s="7" customFormat="1" ht="14.25" customHeight="1" x14ac:dyDescent="0.3"/>
    <row r="816" s="7" customFormat="1" ht="14.25" customHeight="1" x14ac:dyDescent="0.3"/>
    <row r="817" s="7" customFormat="1" ht="14.25" customHeight="1" x14ac:dyDescent="0.3"/>
    <row r="818" s="7" customFormat="1" ht="14.25" customHeight="1" x14ac:dyDescent="0.3"/>
    <row r="819" s="7" customFormat="1" ht="14.25" customHeight="1" x14ac:dyDescent="0.3"/>
    <row r="820" s="7" customFormat="1" ht="14.25" customHeight="1" x14ac:dyDescent="0.3"/>
    <row r="821" s="7" customFormat="1" ht="14.25" customHeight="1" x14ac:dyDescent="0.3"/>
    <row r="822" s="7" customFormat="1" ht="14.25" customHeight="1" x14ac:dyDescent="0.3"/>
    <row r="823" s="7" customFormat="1" ht="14.25" customHeight="1" x14ac:dyDescent="0.3"/>
    <row r="824" s="7" customFormat="1" ht="14.25" customHeight="1" x14ac:dyDescent="0.3"/>
    <row r="825" s="7" customFormat="1" ht="14.25" customHeight="1" x14ac:dyDescent="0.3"/>
    <row r="826" s="7" customFormat="1" ht="14.25" customHeight="1" x14ac:dyDescent="0.3"/>
    <row r="827" s="7" customFormat="1" ht="14.25" customHeight="1" x14ac:dyDescent="0.3"/>
    <row r="828" s="7" customFormat="1" ht="14.25" customHeight="1" x14ac:dyDescent="0.3"/>
    <row r="829" s="7" customFormat="1" ht="14.25" customHeight="1" x14ac:dyDescent="0.3"/>
    <row r="830" s="7" customFormat="1" ht="14.25" customHeight="1" x14ac:dyDescent="0.3"/>
    <row r="831" s="7" customFormat="1" ht="14.25" customHeight="1" x14ac:dyDescent="0.3"/>
    <row r="832" s="7" customFormat="1" ht="14.25" customHeight="1" x14ac:dyDescent="0.3"/>
    <row r="833" s="7" customFormat="1" ht="14.25" customHeight="1" x14ac:dyDescent="0.3"/>
    <row r="834" s="7" customFormat="1" ht="14.25" customHeight="1" x14ac:dyDescent="0.3"/>
    <row r="835" s="7" customFormat="1" ht="14.25" customHeight="1" x14ac:dyDescent="0.3"/>
    <row r="836" s="7" customFormat="1" ht="14.25" customHeight="1" x14ac:dyDescent="0.3"/>
    <row r="837" s="7" customFormat="1" ht="14.25" customHeight="1" x14ac:dyDescent="0.3"/>
    <row r="838" s="7" customFormat="1" ht="14.25" customHeight="1" x14ac:dyDescent="0.3"/>
    <row r="839" s="7" customFormat="1" ht="14.25" customHeight="1" x14ac:dyDescent="0.3"/>
    <row r="840" s="7" customFormat="1" ht="14.25" customHeight="1" x14ac:dyDescent="0.3"/>
    <row r="841" s="7" customFormat="1" ht="14.25" customHeight="1" x14ac:dyDescent="0.3"/>
    <row r="842" s="7" customFormat="1" ht="14.25" customHeight="1" x14ac:dyDescent="0.3"/>
    <row r="843" s="7" customFormat="1" ht="14.25" customHeight="1" x14ac:dyDescent="0.3"/>
    <row r="844" s="7" customFormat="1" ht="14.25" customHeight="1" x14ac:dyDescent="0.3"/>
    <row r="845" s="7" customFormat="1" ht="14.25" customHeight="1" x14ac:dyDescent="0.3"/>
    <row r="846" s="7" customFormat="1" ht="14.25" customHeight="1" x14ac:dyDescent="0.3"/>
    <row r="847" s="7" customFormat="1" ht="14.25" customHeight="1" x14ac:dyDescent="0.3"/>
    <row r="848" s="7" customFormat="1" ht="14.25" customHeight="1" x14ac:dyDescent="0.3"/>
    <row r="849" s="7" customFormat="1" ht="14.25" customHeight="1" x14ac:dyDescent="0.3"/>
    <row r="850" s="7" customFormat="1" ht="14.25" customHeight="1" x14ac:dyDescent="0.3"/>
    <row r="851" s="7" customFormat="1" ht="14.25" customHeight="1" x14ac:dyDescent="0.3"/>
    <row r="852" s="7" customFormat="1" ht="14.25" customHeight="1" x14ac:dyDescent="0.3"/>
    <row r="853" s="7" customFormat="1" ht="14.25" customHeight="1" x14ac:dyDescent="0.3"/>
    <row r="854" s="7" customFormat="1" ht="14.25" customHeight="1" x14ac:dyDescent="0.3"/>
    <row r="855" s="7" customFormat="1" ht="14.25" customHeight="1" x14ac:dyDescent="0.3"/>
    <row r="856" s="7" customFormat="1" ht="14.25" customHeight="1" x14ac:dyDescent="0.3"/>
    <row r="857" s="7" customFormat="1" ht="14.25" customHeight="1" x14ac:dyDescent="0.3"/>
    <row r="858" s="7" customFormat="1" ht="14.25" customHeight="1" x14ac:dyDescent="0.3"/>
    <row r="859" s="7" customFormat="1" ht="14.25" customHeight="1" x14ac:dyDescent="0.3"/>
    <row r="860" s="7" customFormat="1" ht="14.25" customHeight="1" x14ac:dyDescent="0.3"/>
    <row r="861" s="7" customFormat="1" ht="14.25" customHeight="1" x14ac:dyDescent="0.3"/>
    <row r="862" s="7" customFormat="1" ht="14.25" customHeight="1" x14ac:dyDescent="0.3"/>
    <row r="863" s="7" customFormat="1" ht="14.25" customHeight="1" x14ac:dyDescent="0.3"/>
    <row r="864" s="7" customFormat="1" ht="14.25" customHeight="1" x14ac:dyDescent="0.3"/>
    <row r="865" s="7" customFormat="1" ht="14.25" customHeight="1" x14ac:dyDescent="0.3"/>
    <row r="866" s="7" customFormat="1" ht="14.25" customHeight="1" x14ac:dyDescent="0.3"/>
    <row r="867" s="7" customFormat="1" ht="14.25" customHeight="1" x14ac:dyDescent="0.3"/>
    <row r="868" s="7" customFormat="1" ht="14.25" customHeight="1" x14ac:dyDescent="0.3"/>
    <row r="869" s="7" customFormat="1" ht="14.25" customHeight="1" x14ac:dyDescent="0.3"/>
    <row r="870" s="7" customFormat="1" ht="14.25" customHeight="1" x14ac:dyDescent="0.3"/>
    <row r="871" s="7" customFormat="1" ht="14.25" customHeight="1" x14ac:dyDescent="0.3"/>
    <row r="872" s="7" customFormat="1" ht="14.25" customHeight="1" x14ac:dyDescent="0.3"/>
    <row r="873" s="7" customFormat="1" ht="14.25" customHeight="1" x14ac:dyDescent="0.3"/>
    <row r="874" s="7" customFormat="1" ht="14.25" customHeight="1" x14ac:dyDescent="0.3"/>
    <row r="875" s="7" customFormat="1" ht="14.25" customHeight="1" x14ac:dyDescent="0.3"/>
    <row r="876" s="7" customFormat="1" ht="14.25" customHeight="1" x14ac:dyDescent="0.3"/>
    <row r="877" s="7" customFormat="1" ht="14.25" customHeight="1" x14ac:dyDescent="0.3"/>
    <row r="878" s="7" customFormat="1" ht="14.25" customHeight="1" x14ac:dyDescent="0.3"/>
    <row r="879" s="7" customFormat="1" ht="14.25" customHeight="1" x14ac:dyDescent="0.3"/>
    <row r="880" s="7" customFormat="1" ht="14.25" customHeight="1" x14ac:dyDescent="0.3"/>
    <row r="881" s="7" customFormat="1" ht="14.25" customHeight="1" x14ac:dyDescent="0.3"/>
    <row r="882" s="7" customFormat="1" ht="14.25" customHeight="1" x14ac:dyDescent="0.3"/>
    <row r="883" s="7" customFormat="1" ht="14.25" customHeight="1" x14ac:dyDescent="0.3"/>
    <row r="884" s="7" customFormat="1" ht="14.25" customHeight="1" x14ac:dyDescent="0.3"/>
    <row r="885" s="7" customFormat="1" ht="14.25" customHeight="1" x14ac:dyDescent="0.3"/>
    <row r="886" s="7" customFormat="1" ht="14.25" customHeight="1" x14ac:dyDescent="0.3"/>
    <row r="887" s="7" customFormat="1" ht="14.25" customHeight="1" x14ac:dyDescent="0.3"/>
    <row r="888" s="7" customFormat="1" ht="14.25" customHeight="1" x14ac:dyDescent="0.3"/>
    <row r="889" s="7" customFormat="1" ht="14.25" customHeight="1" x14ac:dyDescent="0.3"/>
    <row r="890" s="7" customFormat="1" ht="14.25" customHeight="1" x14ac:dyDescent="0.3"/>
    <row r="891" s="7" customFormat="1" ht="14.25" customHeight="1" x14ac:dyDescent="0.3"/>
    <row r="892" s="7" customFormat="1" ht="14.25" customHeight="1" x14ac:dyDescent="0.3"/>
    <row r="893" s="7" customFormat="1" ht="14.25" customHeight="1" x14ac:dyDescent="0.3"/>
    <row r="894" s="7" customFormat="1" ht="14.25" customHeight="1" x14ac:dyDescent="0.3"/>
    <row r="895" s="7" customFormat="1" ht="14.25" customHeight="1" x14ac:dyDescent="0.3"/>
    <row r="896" s="7" customFormat="1" ht="14.25" customHeight="1" x14ac:dyDescent="0.3"/>
    <row r="897" s="7" customFormat="1" ht="14.25" customHeight="1" x14ac:dyDescent="0.3"/>
    <row r="898" s="7" customFormat="1" ht="14.25" customHeight="1" x14ac:dyDescent="0.3"/>
    <row r="899" s="7" customFormat="1" ht="14.25" customHeight="1" x14ac:dyDescent="0.3"/>
    <row r="900" s="7" customFormat="1" ht="14.25" customHeight="1" x14ac:dyDescent="0.3"/>
    <row r="901" s="7" customFormat="1" ht="14.25" customHeight="1" x14ac:dyDescent="0.3"/>
    <row r="902" s="7" customFormat="1" ht="14.25" customHeight="1" x14ac:dyDescent="0.3"/>
    <row r="903" s="7" customFormat="1" ht="14.25" customHeight="1" x14ac:dyDescent="0.3"/>
    <row r="904" s="7" customFormat="1" ht="14.25" customHeight="1" x14ac:dyDescent="0.3"/>
    <row r="905" s="7" customFormat="1" ht="14.25" customHeight="1" x14ac:dyDescent="0.3"/>
    <row r="906" s="7" customFormat="1" ht="14.25" customHeight="1" x14ac:dyDescent="0.3"/>
    <row r="907" s="7" customFormat="1" ht="14.25" customHeight="1" x14ac:dyDescent="0.3"/>
    <row r="908" s="7" customFormat="1" ht="14.25" customHeight="1" x14ac:dyDescent="0.3"/>
    <row r="909" s="7" customFormat="1" ht="14.25" customHeight="1" x14ac:dyDescent="0.3"/>
    <row r="910" s="7" customFormat="1" ht="14.25" customHeight="1" x14ac:dyDescent="0.3"/>
    <row r="911" s="7" customFormat="1" ht="14.25" customHeight="1" x14ac:dyDescent="0.3"/>
    <row r="912" s="7" customFormat="1" ht="14.25" customHeight="1" x14ac:dyDescent="0.3"/>
    <row r="913" s="7" customFormat="1" ht="14.25" customHeight="1" x14ac:dyDescent="0.3"/>
    <row r="914" s="7" customFormat="1" ht="14.25" customHeight="1" x14ac:dyDescent="0.3"/>
    <row r="915" s="7" customFormat="1" ht="14.25" customHeight="1" x14ac:dyDescent="0.3"/>
    <row r="916" s="7" customFormat="1" ht="14.25" customHeight="1" x14ac:dyDescent="0.3"/>
    <row r="917" s="7" customFormat="1" ht="14.25" customHeight="1" x14ac:dyDescent="0.3"/>
    <row r="918" s="7" customFormat="1" ht="14.25" customHeight="1" x14ac:dyDescent="0.3"/>
    <row r="919" s="7" customFormat="1" ht="14.25" customHeight="1" x14ac:dyDescent="0.3"/>
    <row r="920" s="7" customFormat="1" ht="14.25" customHeight="1" x14ac:dyDescent="0.3"/>
    <row r="921" s="7" customFormat="1" ht="14.25" customHeight="1" x14ac:dyDescent="0.3"/>
    <row r="922" s="7" customFormat="1" ht="14.25" customHeight="1" x14ac:dyDescent="0.3"/>
    <row r="923" s="7" customFormat="1" ht="14.25" customHeight="1" x14ac:dyDescent="0.3"/>
    <row r="924" s="7" customFormat="1" ht="14.25" customHeight="1" x14ac:dyDescent="0.3"/>
    <row r="925" s="7" customFormat="1" ht="14.25" customHeight="1" x14ac:dyDescent="0.3"/>
    <row r="926" s="7" customFormat="1" ht="14.25" customHeight="1" x14ac:dyDescent="0.3"/>
    <row r="927" s="7" customFormat="1" ht="14.25" customHeight="1" x14ac:dyDescent="0.3"/>
    <row r="928" s="7" customFormat="1" ht="14.25" customHeight="1" x14ac:dyDescent="0.3"/>
    <row r="929" s="7" customFormat="1" ht="14.25" customHeight="1" x14ac:dyDescent="0.3"/>
    <row r="930" s="7" customFormat="1" ht="14.25" customHeight="1" x14ac:dyDescent="0.3"/>
    <row r="931" s="7" customFormat="1" ht="14.25" customHeight="1" x14ac:dyDescent="0.3"/>
    <row r="932" s="7" customFormat="1" ht="14.25" customHeight="1" x14ac:dyDescent="0.3"/>
    <row r="933" s="7" customFormat="1" ht="14.25" customHeight="1" x14ac:dyDescent="0.3"/>
    <row r="934" s="7" customFormat="1" ht="14.25" customHeight="1" x14ac:dyDescent="0.3"/>
    <row r="935" s="7" customFormat="1" ht="14.25" customHeight="1" x14ac:dyDescent="0.3"/>
    <row r="936" s="7" customFormat="1" ht="14.25" customHeight="1" x14ac:dyDescent="0.3"/>
    <row r="937" s="7" customFormat="1" ht="14.25" customHeight="1" x14ac:dyDescent="0.3"/>
    <row r="938" s="7" customFormat="1" ht="14.25" customHeight="1" x14ac:dyDescent="0.3"/>
    <row r="939" s="7" customFormat="1" ht="14.25" customHeight="1" x14ac:dyDescent="0.3"/>
    <row r="940" s="7" customFormat="1" ht="14.25" customHeight="1" x14ac:dyDescent="0.3"/>
    <row r="941" s="7" customFormat="1" ht="14.25" customHeight="1" x14ac:dyDescent="0.3"/>
    <row r="942" s="7" customFormat="1" ht="14.25" customHeight="1" x14ac:dyDescent="0.3"/>
    <row r="943" s="7" customFormat="1" ht="14.25" customHeight="1" x14ac:dyDescent="0.3"/>
    <row r="944" s="7" customFormat="1" ht="14.25" customHeight="1" x14ac:dyDescent="0.3"/>
    <row r="945" s="7" customFormat="1" ht="14.25" customHeight="1" x14ac:dyDescent="0.3"/>
    <row r="946" s="7" customFormat="1" ht="14.25" customHeight="1" x14ac:dyDescent="0.3"/>
    <row r="947" s="7" customFormat="1" ht="14.25" customHeight="1" x14ac:dyDescent="0.3"/>
    <row r="948" s="7" customFormat="1" ht="14.25" customHeight="1" x14ac:dyDescent="0.3"/>
    <row r="949" s="7" customFormat="1" ht="14.25" customHeight="1" x14ac:dyDescent="0.3"/>
    <row r="950" s="7" customFormat="1" ht="14.25" customHeight="1" x14ac:dyDescent="0.3"/>
    <row r="951" s="7" customFormat="1" ht="14.25" customHeight="1" x14ac:dyDescent="0.3"/>
    <row r="952" s="7" customFormat="1" ht="14.25" customHeight="1" x14ac:dyDescent="0.3"/>
    <row r="953" s="7" customFormat="1" ht="14.25" customHeight="1" x14ac:dyDescent="0.3"/>
    <row r="954" s="7" customFormat="1" ht="14.25" customHeight="1" x14ac:dyDescent="0.3"/>
    <row r="955" s="7" customFormat="1" ht="14.25" customHeight="1" x14ac:dyDescent="0.3"/>
    <row r="956" s="7" customFormat="1" ht="14.25" customHeight="1" x14ac:dyDescent="0.3"/>
    <row r="957" s="7" customFormat="1" ht="14.25" customHeight="1" x14ac:dyDescent="0.3"/>
    <row r="958" s="7" customFormat="1" ht="14.25" customHeight="1" x14ac:dyDescent="0.3"/>
    <row r="959" s="7" customFormat="1" ht="14.25" customHeight="1" x14ac:dyDescent="0.3"/>
    <row r="960" s="7" customFormat="1" ht="14.25" customHeight="1" x14ac:dyDescent="0.3"/>
    <row r="961" s="7" customFormat="1" ht="14.25" customHeight="1" x14ac:dyDescent="0.3"/>
    <row r="962" s="7" customFormat="1" ht="14.25" customHeight="1" x14ac:dyDescent="0.3"/>
    <row r="963" s="7" customFormat="1" ht="14.25" customHeight="1" x14ac:dyDescent="0.3"/>
    <row r="964" s="7" customFormat="1" ht="14.25" customHeight="1" x14ac:dyDescent="0.3"/>
    <row r="965" s="7" customFormat="1" ht="14.25" customHeight="1" x14ac:dyDescent="0.3"/>
    <row r="966" s="7" customFormat="1" ht="14.25" customHeight="1" x14ac:dyDescent="0.3"/>
    <row r="967" s="7" customFormat="1" ht="14.25" customHeight="1" x14ac:dyDescent="0.3"/>
    <row r="968" s="7" customFormat="1" ht="14.25" customHeight="1" x14ac:dyDescent="0.3"/>
    <row r="969" s="7" customFormat="1" ht="14.25" customHeight="1" x14ac:dyDescent="0.3"/>
    <row r="970" s="7" customFormat="1" ht="14.25" customHeight="1" x14ac:dyDescent="0.3"/>
    <row r="971" s="7" customFormat="1" ht="14.25" customHeight="1" x14ac:dyDescent="0.3"/>
    <row r="972" s="7" customFormat="1" ht="14.25" customHeight="1" x14ac:dyDescent="0.3"/>
    <row r="973" s="7" customFormat="1" ht="14.25" customHeight="1" x14ac:dyDescent="0.3"/>
    <row r="974" s="7" customFormat="1" ht="14.25" customHeight="1" x14ac:dyDescent="0.3"/>
    <row r="975" s="7" customFormat="1" ht="14.25" customHeight="1" x14ac:dyDescent="0.3"/>
    <row r="976" s="7" customFormat="1" ht="14.25" customHeight="1" x14ac:dyDescent="0.3"/>
    <row r="977" s="7" customFormat="1" ht="14.25" customHeight="1" x14ac:dyDescent="0.3"/>
    <row r="978" s="7" customFormat="1" ht="14.25" customHeight="1" x14ac:dyDescent="0.3"/>
    <row r="979" s="7" customFormat="1" ht="14.25" customHeight="1" x14ac:dyDescent="0.3"/>
    <row r="980" s="7" customFormat="1" ht="14.25" customHeight="1" x14ac:dyDescent="0.3"/>
    <row r="981" s="7" customFormat="1" ht="14.25" customHeight="1" x14ac:dyDescent="0.3"/>
    <row r="982" s="7" customFormat="1" ht="14.25" customHeight="1" x14ac:dyDescent="0.3"/>
    <row r="983" s="7" customFormat="1" ht="14.25" customHeight="1" x14ac:dyDescent="0.3"/>
    <row r="984" s="7" customFormat="1" ht="14.25" customHeight="1" x14ac:dyDescent="0.3"/>
    <row r="985" s="7" customFormat="1" ht="14.25" customHeight="1" x14ac:dyDescent="0.3"/>
    <row r="986" s="7" customFormat="1" ht="14.25" customHeight="1" x14ac:dyDescent="0.3"/>
    <row r="987" s="7" customFormat="1" ht="14.25" customHeight="1" x14ac:dyDescent="0.3"/>
    <row r="988" s="7" customFormat="1" ht="14.25" customHeight="1" x14ac:dyDescent="0.3"/>
    <row r="989" s="7" customFormat="1" ht="14.25" customHeight="1" x14ac:dyDescent="0.3"/>
    <row r="990" s="7" customFormat="1" ht="14.25" customHeight="1" x14ac:dyDescent="0.3"/>
    <row r="991" s="7" customFormat="1" ht="14.25" customHeight="1" x14ac:dyDescent="0.3"/>
    <row r="992" s="7" customFormat="1" ht="14.25" customHeight="1" x14ac:dyDescent="0.3"/>
    <row r="993" s="7" customFormat="1" ht="14.25" customHeight="1" x14ac:dyDescent="0.3"/>
    <row r="994" s="7" customFormat="1" ht="14.25" customHeight="1" x14ac:dyDescent="0.3"/>
    <row r="995" s="7" customFormat="1" ht="14.25" customHeight="1" x14ac:dyDescent="0.3"/>
    <row r="996" s="7" customFormat="1" ht="14.25" customHeight="1" x14ac:dyDescent="0.3"/>
    <row r="997" s="7" customFormat="1" ht="14.25" customHeight="1" x14ac:dyDescent="0.3"/>
    <row r="998" s="7" customFormat="1" ht="14.25" customHeight="1" x14ac:dyDescent="0.3"/>
    <row r="999" s="7" customFormat="1" ht="14.25" customHeight="1" x14ac:dyDescent="0.3"/>
    <row r="1000" s="7" customFormat="1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3:L12"/>
  <sheetViews>
    <sheetView workbookViewId="0">
      <selection activeCell="C16" sqref="A1:XFD1048576"/>
    </sheetView>
  </sheetViews>
  <sheetFormatPr defaultColWidth="14.44140625" defaultRowHeight="15" customHeight="1" x14ac:dyDescent="0.3"/>
  <cols>
    <col min="1" max="1" width="14.44140625" style="7"/>
    <col min="2" max="2" width="29.88671875" style="7" customWidth="1"/>
    <col min="3" max="12" width="21.5546875" style="7" customWidth="1"/>
    <col min="13" max="16384" width="14.44140625" style="7"/>
  </cols>
  <sheetData>
    <row r="3" spans="2:12" ht="15" customHeight="1" x14ac:dyDescent="0.3">
      <c r="B3" s="63"/>
      <c r="C3" s="64">
        <v>2021</v>
      </c>
      <c r="D3" s="64">
        <v>2022</v>
      </c>
      <c r="E3" s="64">
        <v>2023</v>
      </c>
      <c r="F3" s="64">
        <v>2024</v>
      </c>
      <c r="G3" s="64">
        <v>2025</v>
      </c>
      <c r="H3" s="64">
        <v>2026</v>
      </c>
      <c r="I3" s="64">
        <v>2027</v>
      </c>
      <c r="J3" s="64">
        <v>2028</v>
      </c>
      <c r="K3" s="64">
        <v>2029</v>
      </c>
      <c r="L3" s="64">
        <v>2030</v>
      </c>
    </row>
    <row r="4" spans="2:12" ht="15" customHeight="1" x14ac:dyDescent="0.3">
      <c r="B4" s="65" t="s">
        <v>35</v>
      </c>
      <c r="C4" s="66">
        <f t="shared" ref="C4:L4" si="0">C5+C8</f>
        <v>12961890042800</v>
      </c>
      <c r="D4" s="66">
        <f t="shared" si="0"/>
        <v>13567184243890</v>
      </c>
      <c r="E4" s="66">
        <f t="shared" si="0"/>
        <v>13115351781280</v>
      </c>
      <c r="F4" s="66">
        <f t="shared" si="0"/>
        <v>12850927344986</v>
      </c>
      <c r="G4" s="66">
        <f t="shared" si="0"/>
        <v>14607847812254</v>
      </c>
      <c r="H4" s="66">
        <f t="shared" si="0"/>
        <v>15931564070372.533</v>
      </c>
      <c r="I4" s="66">
        <f t="shared" si="0"/>
        <v>17078703598641.273</v>
      </c>
      <c r="J4" s="66">
        <f t="shared" si="0"/>
        <v>17672722546058.801</v>
      </c>
      <c r="K4" s="66">
        <f t="shared" si="0"/>
        <v>18329357802659.449</v>
      </c>
      <c r="L4" s="66">
        <f t="shared" si="0"/>
        <v>19052398491138.629</v>
      </c>
    </row>
    <row r="5" spans="2:12" ht="15" customHeight="1" x14ac:dyDescent="0.3">
      <c r="B5" s="67" t="s">
        <v>36</v>
      </c>
      <c r="C5" s="68">
        <v>12784902046560</v>
      </c>
      <c r="D5" s="68">
        <v>13396281716020</v>
      </c>
      <c r="E5" s="68">
        <v>12950566249040</v>
      </c>
      <c r="F5" s="68">
        <v>12689952977516</v>
      </c>
      <c r="G5" s="68">
        <v>14452833424755</v>
      </c>
      <c r="H5" s="35">
        <f t="shared" ref="H5:L5" si="1">H6+H7</f>
        <v>15768798963498.584</v>
      </c>
      <c r="I5" s="35">
        <f t="shared" si="1"/>
        <v>16907800236423.625</v>
      </c>
      <c r="J5" s="35">
        <f t="shared" si="1"/>
        <v>17493274015730.27</v>
      </c>
      <c r="K5" s="35">
        <f t="shared" si="1"/>
        <v>18140936845814.492</v>
      </c>
      <c r="L5" s="35">
        <f t="shared" si="1"/>
        <v>18854556486451.426</v>
      </c>
    </row>
    <row r="6" spans="2:12" ht="15" customHeight="1" x14ac:dyDescent="0.3">
      <c r="B6" s="63" t="s">
        <v>115</v>
      </c>
      <c r="C6" s="69">
        <v>23187118919200</v>
      </c>
      <c r="D6" s="69">
        <v>24822036561060</v>
      </c>
      <c r="E6" s="69">
        <v>25490804674720</v>
      </c>
      <c r="F6" s="69">
        <v>26578381033464</v>
      </c>
      <c r="G6" s="69">
        <v>29180690127632</v>
      </c>
      <c r="H6" s="35">
        <f>G6+'Drilling Service'!H67</f>
        <v>31416870127632</v>
      </c>
      <c r="I6" s="35">
        <f>H6+'Drilling Service'!H68</f>
        <v>33653050127632</v>
      </c>
      <c r="J6" s="35">
        <f t="shared" ref="J6:L6" si="2">I6*(1+5%)</f>
        <v>35335702634013.602</v>
      </c>
      <c r="K6" s="35">
        <f t="shared" si="2"/>
        <v>37102487765714.281</v>
      </c>
      <c r="L6" s="35">
        <f t="shared" si="2"/>
        <v>38957612154000</v>
      </c>
    </row>
    <row r="7" spans="2:12" ht="15" customHeight="1" x14ac:dyDescent="0.3">
      <c r="B7" s="63" t="s">
        <v>116</v>
      </c>
      <c r="C7" s="69">
        <v>-10402216872640</v>
      </c>
      <c r="D7" s="69">
        <v>-11425754845040</v>
      </c>
      <c r="E7" s="69">
        <v>-12540238425680</v>
      </c>
      <c r="F7" s="69">
        <v>-13878428055948</v>
      </c>
      <c r="G7" s="69">
        <v>-14727856747877</v>
      </c>
      <c r="H7" s="35">
        <f t="shared" ref="H7:L7" si="3">G7-H12</f>
        <v>-15648071164133.416</v>
      </c>
      <c r="I7" s="35">
        <f t="shared" si="3"/>
        <v>-16745249891208.375</v>
      </c>
      <c r="J7" s="35">
        <f t="shared" si="3"/>
        <v>-17842428618283.332</v>
      </c>
      <c r="K7" s="35">
        <f t="shared" si="3"/>
        <v>-18961550919899.789</v>
      </c>
      <c r="L7" s="35">
        <f t="shared" si="3"/>
        <v>-20103055667548.574</v>
      </c>
    </row>
    <row r="8" spans="2:12" ht="15" customHeight="1" x14ac:dyDescent="0.3">
      <c r="B8" s="67" t="s">
        <v>39</v>
      </c>
      <c r="C8" s="68">
        <v>176987996240</v>
      </c>
      <c r="D8" s="68">
        <v>170902527870</v>
      </c>
      <c r="E8" s="68">
        <v>164785532240</v>
      </c>
      <c r="F8" s="68">
        <v>160974367470</v>
      </c>
      <c r="G8" s="68">
        <v>155014387499</v>
      </c>
      <c r="H8" s="35">
        <f t="shared" ref="H8:L8" si="4">G8*(1+5%)</f>
        <v>162765106873.95001</v>
      </c>
      <c r="I8" s="35">
        <f t="shared" si="4"/>
        <v>170903362217.64752</v>
      </c>
      <c r="J8" s="35">
        <f t="shared" si="4"/>
        <v>179448530328.52991</v>
      </c>
      <c r="K8" s="35">
        <f t="shared" si="4"/>
        <v>188420956844.95642</v>
      </c>
      <c r="L8" s="35">
        <f t="shared" si="4"/>
        <v>197842004687.20425</v>
      </c>
    </row>
    <row r="9" spans="2:12" ht="15" customHeight="1" x14ac:dyDescent="0.3">
      <c r="B9" s="63"/>
      <c r="C9" s="69"/>
      <c r="D9" s="69"/>
      <c r="E9" s="69"/>
      <c r="F9" s="69"/>
      <c r="G9" s="69"/>
    </row>
    <row r="10" spans="2:12" ht="15" customHeight="1" x14ac:dyDescent="0.3">
      <c r="B10" s="63" t="s">
        <v>117</v>
      </c>
      <c r="C10" s="69"/>
      <c r="D10" s="69">
        <f t="shared" ref="D10:L10" si="5">D6-C6</f>
        <v>1634917641860</v>
      </c>
      <c r="E10" s="69">
        <f t="shared" si="5"/>
        <v>668768113660</v>
      </c>
      <c r="F10" s="69">
        <f t="shared" si="5"/>
        <v>1087576358744</v>
      </c>
      <c r="G10" s="69">
        <f t="shared" si="5"/>
        <v>2602309094168</v>
      </c>
      <c r="H10" s="69">
        <f t="shared" si="5"/>
        <v>2236180000000</v>
      </c>
      <c r="I10" s="69">
        <f t="shared" si="5"/>
        <v>2236180000000</v>
      </c>
      <c r="J10" s="69">
        <f t="shared" si="5"/>
        <v>1682652506381.6016</v>
      </c>
      <c r="K10" s="69">
        <f t="shared" si="5"/>
        <v>1766785131700.6797</v>
      </c>
      <c r="L10" s="69">
        <f t="shared" si="5"/>
        <v>1855124388285.7188</v>
      </c>
    </row>
    <row r="12" spans="2:12" ht="15" customHeight="1" x14ac:dyDescent="0.3">
      <c r="B12" s="7" t="s">
        <v>118</v>
      </c>
      <c r="D12" s="35">
        <f t="shared" ref="D12:G12" si="6">ABS(D7)-ABS(C7)</f>
        <v>1023537972400</v>
      </c>
      <c r="E12" s="35">
        <f t="shared" si="6"/>
        <v>1114483580640</v>
      </c>
      <c r="F12" s="35">
        <f t="shared" si="6"/>
        <v>1338189630268</v>
      </c>
      <c r="G12" s="35">
        <f t="shared" si="6"/>
        <v>849428691929</v>
      </c>
      <c r="H12" s="35">
        <f>G12/6*6.5</f>
        <v>920214416256.41675</v>
      </c>
      <c r="I12" s="35">
        <f>H12/6.5*7.75</f>
        <v>1097178727074.9584</v>
      </c>
      <c r="J12" s="35">
        <f>I12/7.75*7.75</f>
        <v>1097178727074.9584</v>
      </c>
      <c r="K12" s="35">
        <f t="shared" ref="K12:L12" si="7">J12*(1+2%)</f>
        <v>1119122301616.4575</v>
      </c>
      <c r="L12" s="35">
        <f t="shared" si="7"/>
        <v>1141504747648.7866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02"/>
  <sheetViews>
    <sheetView tabSelected="1" workbookViewId="0">
      <selection activeCell="B23" sqref="B23"/>
    </sheetView>
  </sheetViews>
  <sheetFormatPr defaultColWidth="14.44140625" defaultRowHeight="15" customHeight="1" x14ac:dyDescent="0.3"/>
  <cols>
    <col min="1" max="1" width="32.88671875" style="7" customWidth="1"/>
    <col min="2" max="5" width="20.5546875" style="7" customWidth="1"/>
    <col min="6" max="6" width="21.88671875" style="7" customWidth="1"/>
    <col min="7" max="11" width="21.5546875" style="7" customWidth="1"/>
    <col min="12" max="14" width="9" style="7" customWidth="1"/>
    <col min="15" max="15" width="18.44140625" style="7" customWidth="1"/>
    <col min="16" max="26" width="9" style="7" customWidth="1"/>
    <col min="27" max="16384" width="14.44140625" style="7"/>
  </cols>
  <sheetData>
    <row r="1" spans="1:21" ht="14.25" customHeight="1" x14ac:dyDescent="0.3"/>
    <row r="2" spans="1:21" ht="14.25" customHeight="1" x14ac:dyDescent="0.3">
      <c r="U2" s="7">
        <v>15</v>
      </c>
    </row>
    <row r="3" spans="1:21" ht="14.25" customHeight="1" x14ac:dyDescent="0.3">
      <c r="B3" s="7">
        <v>2021</v>
      </c>
      <c r="C3" s="7">
        <v>2022</v>
      </c>
      <c r="D3" s="7">
        <v>2023</v>
      </c>
      <c r="E3" s="7">
        <v>2024</v>
      </c>
      <c r="F3" s="7">
        <v>2025</v>
      </c>
      <c r="G3" s="7">
        <v>2026</v>
      </c>
      <c r="H3" s="7">
        <v>2027</v>
      </c>
      <c r="I3" s="7">
        <v>2028</v>
      </c>
      <c r="J3" s="7">
        <v>2029</v>
      </c>
      <c r="K3" s="7">
        <v>2030</v>
      </c>
    </row>
    <row r="4" spans="1:21" ht="14.25" customHeight="1" x14ac:dyDescent="0.3">
      <c r="A4" s="22" t="s">
        <v>119</v>
      </c>
      <c r="B4" s="35">
        <v>534408144380</v>
      </c>
      <c r="C4" s="35">
        <v>782954247460</v>
      </c>
      <c r="D4" s="35">
        <v>856743293328</v>
      </c>
      <c r="E4" s="35">
        <v>883531324989</v>
      </c>
      <c r="F4" s="35">
        <v>859603231390</v>
      </c>
      <c r="G4" s="35">
        <f t="shared" ref="G4:K4" si="0">AVERAGE(G6,G10)</f>
        <v>853902143846.25049</v>
      </c>
      <c r="H4" s="35">
        <f t="shared" si="0"/>
        <v>906956387143.78259</v>
      </c>
      <c r="I4" s="35">
        <f t="shared" si="0"/>
        <v>944623645530.66724</v>
      </c>
      <c r="J4" s="35">
        <f t="shared" si="0"/>
        <v>985146920375.35645</v>
      </c>
      <c r="K4" s="35">
        <f t="shared" si="0"/>
        <v>1028688465571.5103</v>
      </c>
    </row>
    <row r="5" spans="1:21" ht="14.25" customHeight="1" x14ac:dyDescent="0.3">
      <c r="A5" s="7" t="s">
        <v>120</v>
      </c>
      <c r="B5" s="35">
        <v>12784902046560</v>
      </c>
      <c r="C5" s="35">
        <v>13396281716020</v>
      </c>
      <c r="D5" s="35">
        <v>12950566249040</v>
      </c>
      <c r="E5" s="35">
        <v>12689952977516</v>
      </c>
      <c r="F5" s="35">
        <v>14452833424755</v>
      </c>
      <c r="G5" s="35">
        <f>'Fixed Asset'!H5</f>
        <v>15768798963498.584</v>
      </c>
      <c r="H5" s="35">
        <f>'Fixed Asset'!I5</f>
        <v>16907800236423.625</v>
      </c>
      <c r="I5" s="35">
        <f>'Fixed Asset'!J5</f>
        <v>17493274015730.27</v>
      </c>
      <c r="J5" s="35">
        <f>'Fixed Asset'!K5</f>
        <v>18140936845814.492</v>
      </c>
      <c r="K5" s="35">
        <f>'Fixed Asset'!L5</f>
        <v>18854556486451.426</v>
      </c>
    </row>
    <row r="6" spans="1:21" ht="14.25" customHeight="1" x14ac:dyDescent="0.3">
      <c r="A6" s="7" t="s">
        <v>121</v>
      </c>
      <c r="B6" s="11">
        <f t="shared" ref="B6:F6" si="1">B4/B5</f>
        <v>4.1799940463665246E-2</v>
      </c>
      <c r="C6" s="11">
        <f t="shared" si="1"/>
        <v>5.8445639174913799E-2</v>
      </c>
      <c r="D6" s="11">
        <f t="shared" si="1"/>
        <v>6.6154890593413909E-2</v>
      </c>
      <c r="E6" s="11">
        <f t="shared" si="1"/>
        <v>6.9624475879023096E-2</v>
      </c>
      <c r="F6" s="11">
        <f t="shared" si="1"/>
        <v>5.9476450473556312E-2</v>
      </c>
      <c r="G6" s="35">
        <f t="shared" ref="G6:K6" si="2">$B$14*G5</f>
        <v>931940423235.03772</v>
      </c>
      <c r="H6" s="35">
        <f t="shared" si="2"/>
        <v>999255716607.22876</v>
      </c>
      <c r="I6" s="35">
        <f t="shared" si="2"/>
        <v>1033857380496.9811</v>
      </c>
      <c r="J6" s="35">
        <f t="shared" si="2"/>
        <v>1072134434658.1418</v>
      </c>
      <c r="K6" s="35">
        <f t="shared" si="2"/>
        <v>1114309554745.8208</v>
      </c>
    </row>
    <row r="7" spans="1:21" ht="14.25" customHeight="1" x14ac:dyDescent="0.3">
      <c r="A7" s="7" t="s">
        <v>122</v>
      </c>
      <c r="B7" s="35"/>
      <c r="C7" s="35"/>
      <c r="D7" s="35"/>
      <c r="E7" s="35"/>
      <c r="F7" s="35"/>
    </row>
    <row r="8" spans="1:21" ht="14.25" customHeight="1" x14ac:dyDescent="0.3">
      <c r="A8" s="7" t="s">
        <v>123</v>
      </c>
      <c r="B8" s="35">
        <v>176987996240</v>
      </c>
      <c r="C8" s="35">
        <v>170902527870</v>
      </c>
      <c r="D8" s="35">
        <v>164785532240</v>
      </c>
      <c r="E8" s="35">
        <v>160974367470</v>
      </c>
      <c r="F8" s="35">
        <v>155014387499</v>
      </c>
      <c r="G8" s="35">
        <f>'Fixed Asset'!H8</f>
        <v>162765106873.95001</v>
      </c>
      <c r="H8" s="35">
        <f>'Fixed Asset'!I8</f>
        <v>170903362217.64752</v>
      </c>
      <c r="I8" s="35">
        <f>'Fixed Asset'!J8</f>
        <v>179448530328.52991</v>
      </c>
      <c r="J8" s="35">
        <f>'Fixed Asset'!K8</f>
        <v>188420956844.95642</v>
      </c>
      <c r="K8" s="35">
        <f>'Fixed Asset'!L8</f>
        <v>197842004687.20425</v>
      </c>
    </row>
    <row r="9" spans="1:21" ht="14.25" customHeight="1" x14ac:dyDescent="0.3">
      <c r="A9" s="7" t="s">
        <v>121</v>
      </c>
      <c r="B9" s="11">
        <f t="shared" ref="B9:F9" si="3">B4/B8</f>
        <v>3.0194598262773122</v>
      </c>
      <c r="C9" s="11">
        <f t="shared" si="3"/>
        <v>4.581291202758381</v>
      </c>
      <c r="D9" s="11">
        <f t="shared" si="3"/>
        <v>5.1991414639496751</v>
      </c>
      <c r="E9" s="11">
        <f t="shared" si="3"/>
        <v>5.4886460426916068</v>
      </c>
      <c r="F9" s="11">
        <f t="shared" si="3"/>
        <v>5.5453125691029506</v>
      </c>
    </row>
    <row r="10" spans="1:21" ht="14.25" customHeight="1" x14ac:dyDescent="0.3">
      <c r="A10" s="7" t="s">
        <v>124</v>
      </c>
      <c r="B10" s="11"/>
      <c r="G10" s="35">
        <f t="shared" ref="G10:K10" si="4">$B$15*G8</f>
        <v>775863864457.46326</v>
      </c>
      <c r="H10" s="35">
        <f t="shared" si="4"/>
        <v>814657057680.33643</v>
      </c>
      <c r="I10" s="35">
        <f t="shared" si="4"/>
        <v>855389910564.35327</v>
      </c>
      <c r="J10" s="35">
        <f t="shared" si="4"/>
        <v>898159406092.57104</v>
      </c>
      <c r="K10" s="35">
        <f t="shared" si="4"/>
        <v>943067376397.19971</v>
      </c>
    </row>
    <row r="11" spans="1:21" ht="14.25" customHeight="1" x14ac:dyDescent="0.3"/>
    <row r="12" spans="1:21" ht="14.25" customHeight="1" x14ac:dyDescent="0.3"/>
    <row r="13" spans="1:21" ht="14.25" customHeight="1" x14ac:dyDescent="0.3">
      <c r="A13" s="7" t="s">
        <v>125</v>
      </c>
    </row>
    <row r="14" spans="1:21" ht="14.25" customHeight="1" x14ac:dyDescent="0.3">
      <c r="A14" s="7" t="s">
        <v>120</v>
      </c>
      <c r="B14" s="11">
        <f>AVERAGE(B6:F6)</f>
        <v>5.9100279316914472E-2</v>
      </c>
    </row>
    <row r="15" spans="1:21" ht="14.25" customHeight="1" x14ac:dyDescent="0.3">
      <c r="A15" s="7" t="s">
        <v>126</v>
      </c>
      <c r="B15" s="11">
        <f>AVERAGE(B9:F9)</f>
        <v>4.7667702209559852</v>
      </c>
    </row>
    <row r="16" spans="1:21" ht="14.25" customHeight="1" x14ac:dyDescent="0.3"/>
    <row r="17" s="7" customFormat="1" ht="14.25" customHeight="1" x14ac:dyDescent="0.3"/>
    <row r="18" s="7" customFormat="1" ht="14.25" customHeight="1" x14ac:dyDescent="0.3"/>
    <row r="19" s="7" customFormat="1" ht="14.25" customHeight="1" x14ac:dyDescent="0.3"/>
    <row r="20" s="7" customFormat="1" ht="14.25" customHeight="1" x14ac:dyDescent="0.3"/>
    <row r="21" s="7" customFormat="1" ht="14.25" customHeight="1" x14ac:dyDescent="0.3"/>
    <row r="22" s="7" customFormat="1" ht="14.25" customHeight="1" x14ac:dyDescent="0.3"/>
    <row r="23" s="7" customFormat="1" ht="14.25" customHeight="1" x14ac:dyDescent="0.3"/>
    <row r="24" s="7" customFormat="1" ht="14.25" customHeight="1" x14ac:dyDescent="0.3"/>
    <row r="25" s="7" customFormat="1" ht="14.25" customHeight="1" x14ac:dyDescent="0.3"/>
    <row r="26" s="7" customFormat="1" ht="14.25" customHeight="1" x14ac:dyDescent="0.3"/>
    <row r="27" s="7" customFormat="1" ht="14.25" customHeight="1" x14ac:dyDescent="0.3"/>
    <row r="28" s="7" customFormat="1" ht="14.25" customHeight="1" x14ac:dyDescent="0.3"/>
    <row r="29" s="7" customFormat="1" ht="14.25" customHeight="1" x14ac:dyDescent="0.3"/>
    <row r="30" s="7" customFormat="1" ht="14.25" customHeight="1" x14ac:dyDescent="0.3"/>
    <row r="31" s="7" customFormat="1" ht="14.25" customHeight="1" x14ac:dyDescent="0.3"/>
    <row r="32" s="7" customFormat="1" ht="14.25" customHeight="1" x14ac:dyDescent="0.3"/>
    <row r="33" s="7" customFormat="1" ht="14.25" customHeight="1" x14ac:dyDescent="0.3"/>
    <row r="34" s="7" customFormat="1" ht="14.25" customHeight="1" x14ac:dyDescent="0.3"/>
    <row r="35" s="7" customFormat="1" ht="14.25" customHeight="1" x14ac:dyDescent="0.3"/>
    <row r="36" s="7" customFormat="1" ht="14.25" customHeight="1" x14ac:dyDescent="0.3"/>
    <row r="37" s="7" customFormat="1" ht="14.25" customHeight="1" x14ac:dyDescent="0.3"/>
    <row r="38" s="7" customFormat="1" ht="14.25" customHeight="1" x14ac:dyDescent="0.3"/>
    <row r="39" s="7" customFormat="1" ht="14.25" customHeight="1" x14ac:dyDescent="0.3"/>
    <row r="40" s="7" customFormat="1" ht="14.25" customHeight="1" x14ac:dyDescent="0.3"/>
    <row r="41" s="7" customFormat="1" ht="14.25" customHeight="1" x14ac:dyDescent="0.3"/>
    <row r="42" s="7" customFormat="1" ht="14.25" customHeight="1" x14ac:dyDescent="0.3"/>
    <row r="43" s="7" customFormat="1" ht="14.25" customHeight="1" x14ac:dyDescent="0.3"/>
    <row r="44" s="7" customFormat="1" ht="14.25" customHeight="1" x14ac:dyDescent="0.3"/>
    <row r="45" s="7" customFormat="1" ht="14.25" customHeight="1" x14ac:dyDescent="0.3"/>
    <row r="46" s="7" customFormat="1" ht="14.25" customHeight="1" x14ac:dyDescent="0.3"/>
    <row r="47" s="7" customFormat="1" ht="14.25" customHeight="1" x14ac:dyDescent="0.3"/>
    <row r="48" s="7" customFormat="1" ht="14.25" customHeight="1" x14ac:dyDescent="0.3"/>
    <row r="49" s="7" customFormat="1" ht="14.25" customHeight="1" x14ac:dyDescent="0.3"/>
    <row r="50" s="7" customFormat="1" ht="14.25" customHeight="1" x14ac:dyDescent="0.3"/>
    <row r="51" s="7" customFormat="1" ht="14.25" customHeight="1" x14ac:dyDescent="0.3"/>
    <row r="52" s="7" customFormat="1" ht="14.25" customHeight="1" x14ac:dyDescent="0.3"/>
    <row r="53" s="7" customFormat="1" ht="14.25" customHeight="1" x14ac:dyDescent="0.3"/>
    <row r="54" s="7" customFormat="1" ht="14.25" customHeight="1" x14ac:dyDescent="0.3"/>
    <row r="55" s="7" customFormat="1" ht="14.25" customHeight="1" x14ac:dyDescent="0.3"/>
    <row r="56" s="7" customFormat="1" ht="14.25" customHeight="1" x14ac:dyDescent="0.3"/>
    <row r="57" s="7" customFormat="1" ht="14.25" customHeight="1" x14ac:dyDescent="0.3"/>
    <row r="58" s="7" customFormat="1" ht="14.25" customHeight="1" x14ac:dyDescent="0.3"/>
    <row r="59" s="7" customFormat="1" ht="14.25" customHeight="1" x14ac:dyDescent="0.3"/>
    <row r="60" s="7" customFormat="1" ht="14.25" customHeight="1" x14ac:dyDescent="0.3"/>
    <row r="61" s="7" customFormat="1" ht="14.25" customHeight="1" x14ac:dyDescent="0.3"/>
    <row r="62" s="7" customFormat="1" ht="14.25" customHeight="1" x14ac:dyDescent="0.3"/>
    <row r="63" s="7" customFormat="1" ht="14.25" customHeight="1" x14ac:dyDescent="0.3"/>
    <row r="64" s="7" customFormat="1" ht="14.25" customHeight="1" x14ac:dyDescent="0.3"/>
    <row r="65" s="7" customFormat="1" ht="14.25" customHeight="1" x14ac:dyDescent="0.3"/>
    <row r="66" s="7" customFormat="1" ht="14.25" customHeight="1" x14ac:dyDescent="0.3"/>
    <row r="67" s="7" customFormat="1" ht="14.25" customHeight="1" x14ac:dyDescent="0.3"/>
    <row r="68" s="7" customFormat="1" ht="14.25" customHeight="1" x14ac:dyDescent="0.3"/>
    <row r="69" s="7" customFormat="1" ht="14.25" customHeight="1" x14ac:dyDescent="0.3"/>
    <row r="70" s="7" customFormat="1" ht="14.25" customHeight="1" x14ac:dyDescent="0.3"/>
    <row r="71" s="7" customFormat="1" ht="14.25" customHeight="1" x14ac:dyDescent="0.3"/>
    <row r="72" s="7" customFormat="1" ht="14.25" customHeight="1" x14ac:dyDescent="0.3"/>
    <row r="73" s="7" customFormat="1" ht="14.25" customHeight="1" x14ac:dyDescent="0.3"/>
    <row r="74" s="7" customFormat="1" ht="14.25" customHeight="1" x14ac:dyDescent="0.3"/>
    <row r="75" s="7" customFormat="1" ht="14.25" customHeight="1" x14ac:dyDescent="0.3"/>
    <row r="76" s="7" customFormat="1" ht="14.25" customHeight="1" x14ac:dyDescent="0.3"/>
    <row r="77" s="7" customFormat="1" ht="14.25" customHeight="1" x14ac:dyDescent="0.3"/>
    <row r="78" s="7" customFormat="1" ht="14.25" customHeight="1" x14ac:dyDescent="0.3"/>
    <row r="79" s="7" customFormat="1" ht="14.25" customHeight="1" x14ac:dyDescent="0.3"/>
    <row r="80" s="7" customFormat="1" ht="14.25" customHeight="1" x14ac:dyDescent="0.3"/>
    <row r="81" s="7" customFormat="1" ht="14.25" customHeight="1" x14ac:dyDescent="0.3"/>
    <row r="82" s="7" customFormat="1" ht="14.25" customHeight="1" x14ac:dyDescent="0.3"/>
    <row r="83" s="7" customFormat="1" ht="14.25" customHeight="1" x14ac:dyDescent="0.3"/>
    <row r="84" s="7" customFormat="1" ht="14.25" customHeight="1" x14ac:dyDescent="0.3"/>
    <row r="85" s="7" customFormat="1" ht="14.25" customHeight="1" x14ac:dyDescent="0.3"/>
    <row r="86" s="7" customFormat="1" ht="14.25" customHeight="1" x14ac:dyDescent="0.3"/>
    <row r="87" s="7" customFormat="1" ht="14.25" customHeight="1" x14ac:dyDescent="0.3"/>
    <row r="88" s="7" customFormat="1" ht="14.25" customHeight="1" x14ac:dyDescent="0.3"/>
    <row r="89" s="7" customFormat="1" ht="14.25" customHeight="1" x14ac:dyDescent="0.3"/>
    <row r="90" s="7" customFormat="1" ht="14.25" customHeight="1" x14ac:dyDescent="0.3"/>
    <row r="91" s="7" customFormat="1" ht="14.25" customHeight="1" x14ac:dyDescent="0.3"/>
    <row r="92" s="7" customFormat="1" ht="14.25" customHeight="1" x14ac:dyDescent="0.3"/>
    <row r="93" s="7" customFormat="1" ht="14.25" customHeight="1" x14ac:dyDescent="0.3"/>
    <row r="94" s="7" customFormat="1" ht="14.25" customHeight="1" x14ac:dyDescent="0.3"/>
    <row r="95" s="7" customFormat="1" ht="14.25" customHeight="1" x14ac:dyDescent="0.3"/>
    <row r="96" s="7" customFormat="1" ht="14.25" customHeight="1" x14ac:dyDescent="0.3"/>
    <row r="97" s="7" customFormat="1" ht="14.25" customHeight="1" x14ac:dyDescent="0.3"/>
    <row r="98" s="7" customFormat="1" ht="14.25" customHeight="1" x14ac:dyDescent="0.3"/>
    <row r="99" s="7" customFormat="1" ht="14.25" customHeight="1" x14ac:dyDescent="0.3"/>
    <row r="100" s="7" customFormat="1" ht="14.25" customHeight="1" x14ac:dyDescent="0.3"/>
    <row r="101" s="7" customFormat="1" ht="14.25" customHeight="1" x14ac:dyDescent="0.3"/>
    <row r="102" s="7" customFormat="1" ht="14.25" customHeight="1" x14ac:dyDescent="0.3"/>
    <row r="103" s="7" customFormat="1" ht="14.25" customHeight="1" x14ac:dyDescent="0.3"/>
    <row r="104" s="7" customFormat="1" ht="14.25" customHeight="1" x14ac:dyDescent="0.3"/>
    <row r="105" s="7" customFormat="1" ht="14.25" customHeight="1" x14ac:dyDescent="0.3"/>
    <row r="106" s="7" customFormat="1" ht="14.25" customHeight="1" x14ac:dyDescent="0.3"/>
    <row r="107" s="7" customFormat="1" ht="14.25" customHeight="1" x14ac:dyDescent="0.3"/>
    <row r="108" s="7" customFormat="1" ht="14.25" customHeight="1" x14ac:dyDescent="0.3"/>
    <row r="109" s="7" customFormat="1" ht="14.25" customHeight="1" x14ac:dyDescent="0.3"/>
    <row r="110" s="7" customFormat="1" ht="14.25" customHeight="1" x14ac:dyDescent="0.3"/>
    <row r="111" s="7" customFormat="1" ht="14.25" customHeight="1" x14ac:dyDescent="0.3"/>
    <row r="112" s="7" customFormat="1" ht="14.25" customHeight="1" x14ac:dyDescent="0.3"/>
    <row r="113" s="7" customFormat="1" ht="14.25" customHeight="1" x14ac:dyDescent="0.3"/>
    <row r="114" s="7" customFormat="1" ht="14.25" customHeight="1" x14ac:dyDescent="0.3"/>
    <row r="115" s="7" customFormat="1" ht="14.25" customHeight="1" x14ac:dyDescent="0.3"/>
    <row r="116" s="7" customFormat="1" ht="14.25" customHeight="1" x14ac:dyDescent="0.3"/>
    <row r="117" s="7" customFormat="1" ht="14.25" customHeight="1" x14ac:dyDescent="0.3"/>
    <row r="118" s="7" customFormat="1" ht="14.25" customHeight="1" x14ac:dyDescent="0.3"/>
    <row r="119" s="7" customFormat="1" ht="14.25" customHeight="1" x14ac:dyDescent="0.3"/>
    <row r="120" s="7" customFormat="1" ht="14.25" customHeight="1" x14ac:dyDescent="0.3"/>
    <row r="121" s="7" customFormat="1" ht="14.25" customHeight="1" x14ac:dyDescent="0.3"/>
    <row r="122" s="7" customFormat="1" ht="14.25" customHeight="1" x14ac:dyDescent="0.3"/>
    <row r="123" s="7" customFormat="1" ht="14.25" customHeight="1" x14ac:dyDescent="0.3"/>
    <row r="124" s="7" customFormat="1" ht="14.25" customHeight="1" x14ac:dyDescent="0.3"/>
    <row r="125" s="7" customFormat="1" ht="14.25" customHeight="1" x14ac:dyDescent="0.3"/>
    <row r="126" s="7" customFormat="1" ht="14.25" customHeight="1" x14ac:dyDescent="0.3"/>
    <row r="127" s="7" customFormat="1" ht="14.25" customHeight="1" x14ac:dyDescent="0.3"/>
    <row r="128" s="7" customFormat="1" ht="14.25" customHeight="1" x14ac:dyDescent="0.3"/>
    <row r="129" s="7" customFormat="1" ht="14.25" customHeight="1" x14ac:dyDescent="0.3"/>
    <row r="130" s="7" customFormat="1" ht="14.25" customHeight="1" x14ac:dyDescent="0.3"/>
    <row r="131" s="7" customFormat="1" ht="14.25" customHeight="1" x14ac:dyDescent="0.3"/>
    <row r="132" s="7" customFormat="1" ht="14.25" customHeight="1" x14ac:dyDescent="0.3"/>
    <row r="133" s="7" customFormat="1" ht="14.25" customHeight="1" x14ac:dyDescent="0.3"/>
    <row r="134" s="7" customFormat="1" ht="14.25" customHeight="1" x14ac:dyDescent="0.3"/>
    <row r="135" s="7" customFormat="1" ht="14.25" customHeight="1" x14ac:dyDescent="0.3"/>
    <row r="136" s="7" customFormat="1" ht="14.25" customHeight="1" x14ac:dyDescent="0.3"/>
    <row r="137" s="7" customFormat="1" ht="14.25" customHeight="1" x14ac:dyDescent="0.3"/>
    <row r="138" s="7" customFormat="1" ht="14.25" customHeight="1" x14ac:dyDescent="0.3"/>
    <row r="139" s="7" customFormat="1" ht="14.25" customHeight="1" x14ac:dyDescent="0.3"/>
    <row r="140" s="7" customFormat="1" ht="14.25" customHeight="1" x14ac:dyDescent="0.3"/>
    <row r="141" s="7" customFormat="1" ht="14.25" customHeight="1" x14ac:dyDescent="0.3"/>
    <row r="142" s="7" customFormat="1" ht="14.25" customHeight="1" x14ac:dyDescent="0.3"/>
    <row r="143" s="7" customFormat="1" ht="14.25" customHeight="1" x14ac:dyDescent="0.3"/>
    <row r="144" s="7" customFormat="1" ht="14.25" customHeight="1" x14ac:dyDescent="0.3"/>
    <row r="145" s="7" customFormat="1" ht="14.25" customHeight="1" x14ac:dyDescent="0.3"/>
    <row r="146" s="7" customFormat="1" ht="14.25" customHeight="1" x14ac:dyDescent="0.3"/>
    <row r="147" s="7" customFormat="1" ht="14.25" customHeight="1" x14ac:dyDescent="0.3"/>
    <row r="148" s="7" customFormat="1" ht="14.25" customHeight="1" x14ac:dyDescent="0.3"/>
    <row r="149" s="7" customFormat="1" ht="14.25" customHeight="1" x14ac:dyDescent="0.3"/>
    <row r="150" s="7" customFormat="1" ht="14.25" customHeight="1" x14ac:dyDescent="0.3"/>
    <row r="151" s="7" customFormat="1" ht="14.25" customHeight="1" x14ac:dyDescent="0.3"/>
    <row r="152" s="7" customFormat="1" ht="14.25" customHeight="1" x14ac:dyDescent="0.3"/>
    <row r="153" s="7" customFormat="1" ht="14.25" customHeight="1" x14ac:dyDescent="0.3"/>
    <row r="154" s="7" customFormat="1" ht="14.25" customHeight="1" x14ac:dyDescent="0.3"/>
    <row r="155" s="7" customFormat="1" ht="14.25" customHeight="1" x14ac:dyDescent="0.3"/>
    <row r="156" s="7" customFormat="1" ht="14.25" customHeight="1" x14ac:dyDescent="0.3"/>
    <row r="157" s="7" customFormat="1" ht="14.25" customHeight="1" x14ac:dyDescent="0.3"/>
    <row r="158" s="7" customFormat="1" ht="14.25" customHeight="1" x14ac:dyDescent="0.3"/>
    <row r="159" s="7" customFormat="1" ht="14.25" customHeight="1" x14ac:dyDescent="0.3"/>
    <row r="160" s="7" customFormat="1" ht="14.25" customHeight="1" x14ac:dyDescent="0.3"/>
    <row r="161" s="7" customFormat="1" ht="14.25" customHeight="1" x14ac:dyDescent="0.3"/>
    <row r="162" s="7" customFormat="1" ht="14.25" customHeight="1" x14ac:dyDescent="0.3"/>
    <row r="163" s="7" customFormat="1" ht="14.25" customHeight="1" x14ac:dyDescent="0.3"/>
    <row r="164" s="7" customFormat="1" ht="14.25" customHeight="1" x14ac:dyDescent="0.3"/>
    <row r="165" s="7" customFormat="1" ht="14.25" customHeight="1" x14ac:dyDescent="0.3"/>
    <row r="166" s="7" customFormat="1" ht="14.25" customHeight="1" x14ac:dyDescent="0.3"/>
    <row r="167" s="7" customFormat="1" ht="14.25" customHeight="1" x14ac:dyDescent="0.3"/>
    <row r="168" s="7" customFormat="1" ht="14.25" customHeight="1" x14ac:dyDescent="0.3"/>
    <row r="169" s="7" customFormat="1" ht="14.25" customHeight="1" x14ac:dyDescent="0.3"/>
    <row r="170" s="7" customFormat="1" ht="14.25" customHeight="1" x14ac:dyDescent="0.3"/>
    <row r="171" s="7" customFormat="1" ht="14.25" customHeight="1" x14ac:dyDescent="0.3"/>
    <row r="172" s="7" customFormat="1" ht="14.25" customHeight="1" x14ac:dyDescent="0.3"/>
    <row r="173" s="7" customFormat="1" ht="14.25" customHeight="1" x14ac:dyDescent="0.3"/>
    <row r="174" s="7" customFormat="1" ht="14.25" customHeight="1" x14ac:dyDescent="0.3"/>
    <row r="175" s="7" customFormat="1" ht="14.25" customHeight="1" x14ac:dyDescent="0.3"/>
    <row r="176" s="7" customFormat="1" ht="14.25" customHeight="1" x14ac:dyDescent="0.3"/>
    <row r="177" s="7" customFormat="1" ht="14.25" customHeight="1" x14ac:dyDescent="0.3"/>
    <row r="178" s="7" customFormat="1" ht="14.25" customHeight="1" x14ac:dyDescent="0.3"/>
    <row r="179" s="7" customFormat="1" ht="14.25" customHeight="1" x14ac:dyDescent="0.3"/>
    <row r="180" s="7" customFormat="1" ht="14.25" customHeight="1" x14ac:dyDescent="0.3"/>
    <row r="181" s="7" customFormat="1" ht="14.25" customHeight="1" x14ac:dyDescent="0.3"/>
    <row r="182" s="7" customFormat="1" ht="14.25" customHeight="1" x14ac:dyDescent="0.3"/>
    <row r="183" s="7" customFormat="1" ht="14.25" customHeight="1" x14ac:dyDescent="0.3"/>
    <row r="184" s="7" customFormat="1" ht="14.25" customHeight="1" x14ac:dyDescent="0.3"/>
    <row r="185" s="7" customFormat="1" ht="14.25" customHeight="1" x14ac:dyDescent="0.3"/>
    <row r="186" s="7" customFormat="1" ht="14.25" customHeight="1" x14ac:dyDescent="0.3"/>
    <row r="187" s="7" customFormat="1" ht="14.25" customHeight="1" x14ac:dyDescent="0.3"/>
    <row r="188" s="7" customFormat="1" ht="14.25" customHeight="1" x14ac:dyDescent="0.3"/>
    <row r="189" s="7" customFormat="1" ht="14.25" customHeight="1" x14ac:dyDescent="0.3"/>
    <row r="190" s="7" customFormat="1" ht="14.25" customHeight="1" x14ac:dyDescent="0.3"/>
    <row r="191" s="7" customFormat="1" ht="14.25" customHeight="1" x14ac:dyDescent="0.3"/>
    <row r="192" s="7" customFormat="1" ht="14.25" customHeight="1" x14ac:dyDescent="0.3"/>
    <row r="193" s="7" customFormat="1" ht="14.25" customHeight="1" x14ac:dyDescent="0.3"/>
    <row r="194" s="7" customFormat="1" ht="14.25" customHeight="1" x14ac:dyDescent="0.3"/>
    <row r="195" s="7" customFormat="1" ht="14.25" customHeight="1" x14ac:dyDescent="0.3"/>
    <row r="196" s="7" customFormat="1" ht="14.25" customHeight="1" x14ac:dyDescent="0.3"/>
    <row r="197" s="7" customFormat="1" ht="14.25" customHeight="1" x14ac:dyDescent="0.3"/>
    <row r="198" s="7" customFormat="1" ht="14.25" customHeight="1" x14ac:dyDescent="0.3"/>
    <row r="199" s="7" customFormat="1" ht="14.25" customHeight="1" x14ac:dyDescent="0.3"/>
    <row r="200" s="7" customFormat="1" ht="14.25" customHeight="1" x14ac:dyDescent="0.3"/>
    <row r="201" s="7" customFormat="1" ht="14.25" customHeight="1" x14ac:dyDescent="0.3"/>
    <row r="202" s="7" customFormat="1" ht="14.25" customHeight="1" x14ac:dyDescent="0.3"/>
    <row r="203" s="7" customFormat="1" ht="14.25" customHeight="1" x14ac:dyDescent="0.3"/>
    <row r="204" s="7" customFormat="1" ht="14.25" customHeight="1" x14ac:dyDescent="0.3"/>
    <row r="205" s="7" customFormat="1" ht="14.25" customHeight="1" x14ac:dyDescent="0.3"/>
    <row r="206" s="7" customFormat="1" ht="14.25" customHeight="1" x14ac:dyDescent="0.3"/>
    <row r="207" s="7" customFormat="1" ht="14.25" customHeight="1" x14ac:dyDescent="0.3"/>
    <row r="208" s="7" customFormat="1" ht="14.25" customHeight="1" x14ac:dyDescent="0.3"/>
    <row r="209" s="7" customFormat="1" ht="14.25" customHeight="1" x14ac:dyDescent="0.3"/>
    <row r="210" s="7" customFormat="1" ht="14.25" customHeight="1" x14ac:dyDescent="0.3"/>
    <row r="211" s="7" customFormat="1" ht="14.25" customHeight="1" x14ac:dyDescent="0.3"/>
    <row r="212" s="7" customFormat="1" ht="14.25" customHeight="1" x14ac:dyDescent="0.3"/>
    <row r="213" s="7" customFormat="1" ht="14.25" customHeight="1" x14ac:dyDescent="0.3"/>
    <row r="214" s="7" customFormat="1" ht="14.25" customHeight="1" x14ac:dyDescent="0.3"/>
    <row r="215" s="7" customFormat="1" ht="14.25" customHeight="1" x14ac:dyDescent="0.3"/>
    <row r="216" s="7" customFormat="1" ht="14.25" customHeight="1" x14ac:dyDescent="0.3"/>
    <row r="217" s="7" customFormat="1" ht="14.25" customHeight="1" x14ac:dyDescent="0.3"/>
    <row r="218" s="7" customFormat="1" ht="14.25" customHeight="1" x14ac:dyDescent="0.3"/>
    <row r="219" s="7" customFormat="1" ht="14.25" customHeight="1" x14ac:dyDescent="0.3"/>
    <row r="220" s="7" customFormat="1" ht="14.25" customHeight="1" x14ac:dyDescent="0.3"/>
    <row r="221" s="7" customFormat="1" ht="14.25" customHeight="1" x14ac:dyDescent="0.3"/>
    <row r="222" s="7" customFormat="1" ht="14.25" customHeight="1" x14ac:dyDescent="0.3"/>
    <row r="223" s="7" customFormat="1" ht="14.25" customHeight="1" x14ac:dyDescent="0.3"/>
    <row r="224" s="7" customFormat="1" ht="14.25" customHeight="1" x14ac:dyDescent="0.3"/>
    <row r="225" s="7" customFormat="1" ht="14.25" customHeight="1" x14ac:dyDescent="0.3"/>
    <row r="226" s="7" customFormat="1" ht="14.25" customHeight="1" x14ac:dyDescent="0.3"/>
    <row r="227" s="7" customFormat="1" ht="14.25" customHeight="1" x14ac:dyDescent="0.3"/>
    <row r="228" s="7" customFormat="1" ht="14.25" customHeight="1" x14ac:dyDescent="0.3"/>
    <row r="229" s="7" customFormat="1" ht="14.25" customHeight="1" x14ac:dyDescent="0.3"/>
    <row r="230" s="7" customFormat="1" ht="14.25" customHeight="1" x14ac:dyDescent="0.3"/>
    <row r="231" s="7" customFormat="1" ht="14.25" customHeight="1" x14ac:dyDescent="0.3"/>
    <row r="232" s="7" customFormat="1" ht="14.25" customHeight="1" x14ac:dyDescent="0.3"/>
    <row r="233" s="7" customFormat="1" ht="14.25" customHeight="1" x14ac:dyDescent="0.3"/>
    <row r="234" s="7" customFormat="1" ht="14.25" customHeight="1" x14ac:dyDescent="0.3"/>
    <row r="235" s="7" customFormat="1" ht="14.25" customHeight="1" x14ac:dyDescent="0.3"/>
    <row r="236" s="7" customFormat="1" ht="14.25" customHeight="1" x14ac:dyDescent="0.3"/>
    <row r="237" s="7" customFormat="1" ht="14.25" customHeight="1" x14ac:dyDescent="0.3"/>
    <row r="238" s="7" customFormat="1" ht="14.25" customHeight="1" x14ac:dyDescent="0.3"/>
    <row r="239" s="7" customFormat="1" ht="14.25" customHeight="1" x14ac:dyDescent="0.3"/>
    <row r="240" s="7" customFormat="1" ht="14.25" customHeight="1" x14ac:dyDescent="0.3"/>
    <row r="241" s="7" customFormat="1" ht="14.25" customHeight="1" x14ac:dyDescent="0.3"/>
    <row r="242" s="7" customFormat="1" ht="14.25" customHeight="1" x14ac:dyDescent="0.3"/>
    <row r="243" s="7" customFormat="1" ht="14.25" customHeight="1" x14ac:dyDescent="0.3"/>
    <row r="244" s="7" customFormat="1" ht="14.25" customHeight="1" x14ac:dyDescent="0.3"/>
    <row r="245" s="7" customFormat="1" ht="14.25" customHeight="1" x14ac:dyDescent="0.3"/>
    <row r="246" s="7" customFormat="1" ht="14.25" customHeight="1" x14ac:dyDescent="0.3"/>
    <row r="247" s="7" customFormat="1" ht="14.25" customHeight="1" x14ac:dyDescent="0.3"/>
    <row r="248" s="7" customFormat="1" ht="14.25" customHeight="1" x14ac:dyDescent="0.3"/>
    <row r="249" s="7" customFormat="1" ht="14.25" customHeight="1" x14ac:dyDescent="0.3"/>
    <row r="250" s="7" customFormat="1" ht="14.25" customHeight="1" x14ac:dyDescent="0.3"/>
    <row r="251" s="7" customFormat="1" ht="14.25" customHeight="1" x14ac:dyDescent="0.3"/>
    <row r="252" s="7" customFormat="1" ht="14.25" customHeight="1" x14ac:dyDescent="0.3"/>
    <row r="253" s="7" customFormat="1" ht="14.25" customHeight="1" x14ac:dyDescent="0.3"/>
    <row r="254" s="7" customFormat="1" ht="14.25" customHeight="1" x14ac:dyDescent="0.3"/>
    <row r="255" s="7" customFormat="1" ht="14.25" customHeight="1" x14ac:dyDescent="0.3"/>
    <row r="256" s="7" customFormat="1" ht="14.25" customHeight="1" x14ac:dyDescent="0.3"/>
    <row r="257" s="7" customFormat="1" ht="14.25" customHeight="1" x14ac:dyDescent="0.3"/>
    <row r="258" s="7" customFormat="1" ht="14.25" customHeight="1" x14ac:dyDescent="0.3"/>
    <row r="259" s="7" customFormat="1" ht="14.25" customHeight="1" x14ac:dyDescent="0.3"/>
    <row r="260" s="7" customFormat="1" ht="14.25" customHeight="1" x14ac:dyDescent="0.3"/>
    <row r="261" s="7" customFormat="1" ht="14.25" customHeight="1" x14ac:dyDescent="0.3"/>
    <row r="262" s="7" customFormat="1" ht="14.25" customHeight="1" x14ac:dyDescent="0.3"/>
    <row r="263" s="7" customFormat="1" ht="14.25" customHeight="1" x14ac:dyDescent="0.3"/>
    <row r="264" s="7" customFormat="1" ht="14.25" customHeight="1" x14ac:dyDescent="0.3"/>
    <row r="265" s="7" customFormat="1" ht="14.25" customHeight="1" x14ac:dyDescent="0.3"/>
    <row r="266" s="7" customFormat="1" ht="14.25" customHeight="1" x14ac:dyDescent="0.3"/>
    <row r="267" s="7" customFormat="1" ht="14.25" customHeight="1" x14ac:dyDescent="0.3"/>
    <row r="268" s="7" customFormat="1" ht="14.25" customHeight="1" x14ac:dyDescent="0.3"/>
    <row r="269" s="7" customFormat="1" ht="14.25" customHeight="1" x14ac:dyDescent="0.3"/>
    <row r="270" s="7" customFormat="1" ht="14.25" customHeight="1" x14ac:dyDescent="0.3"/>
    <row r="271" s="7" customFormat="1" ht="14.25" customHeight="1" x14ac:dyDescent="0.3"/>
    <row r="272" s="7" customFormat="1" ht="14.25" customHeight="1" x14ac:dyDescent="0.3"/>
    <row r="273" s="7" customFormat="1" ht="14.25" customHeight="1" x14ac:dyDescent="0.3"/>
    <row r="274" s="7" customFormat="1" ht="14.25" customHeight="1" x14ac:dyDescent="0.3"/>
    <row r="275" s="7" customFormat="1" ht="14.25" customHeight="1" x14ac:dyDescent="0.3"/>
    <row r="276" s="7" customFormat="1" ht="14.25" customHeight="1" x14ac:dyDescent="0.3"/>
    <row r="277" s="7" customFormat="1" ht="14.25" customHeight="1" x14ac:dyDescent="0.3"/>
    <row r="278" s="7" customFormat="1" ht="14.25" customHeight="1" x14ac:dyDescent="0.3"/>
    <row r="279" s="7" customFormat="1" ht="14.25" customHeight="1" x14ac:dyDescent="0.3"/>
    <row r="280" s="7" customFormat="1" ht="14.25" customHeight="1" x14ac:dyDescent="0.3"/>
    <row r="281" s="7" customFormat="1" ht="14.25" customHeight="1" x14ac:dyDescent="0.3"/>
    <row r="282" s="7" customFormat="1" ht="14.25" customHeight="1" x14ac:dyDescent="0.3"/>
    <row r="283" s="7" customFormat="1" ht="14.25" customHeight="1" x14ac:dyDescent="0.3"/>
    <row r="284" s="7" customFormat="1" ht="14.25" customHeight="1" x14ac:dyDescent="0.3"/>
    <row r="285" s="7" customFormat="1" ht="14.25" customHeight="1" x14ac:dyDescent="0.3"/>
    <row r="286" s="7" customFormat="1" ht="14.25" customHeight="1" x14ac:dyDescent="0.3"/>
    <row r="287" s="7" customFormat="1" ht="14.25" customHeight="1" x14ac:dyDescent="0.3"/>
    <row r="288" s="7" customFormat="1" ht="14.25" customHeight="1" x14ac:dyDescent="0.3"/>
    <row r="289" s="7" customFormat="1" ht="14.25" customHeight="1" x14ac:dyDescent="0.3"/>
    <row r="290" s="7" customFormat="1" ht="14.25" customHeight="1" x14ac:dyDescent="0.3"/>
    <row r="291" s="7" customFormat="1" ht="14.25" customHeight="1" x14ac:dyDescent="0.3"/>
    <row r="292" s="7" customFormat="1" ht="14.25" customHeight="1" x14ac:dyDescent="0.3"/>
    <row r="293" s="7" customFormat="1" ht="14.25" customHeight="1" x14ac:dyDescent="0.3"/>
    <row r="294" s="7" customFormat="1" ht="14.25" customHeight="1" x14ac:dyDescent="0.3"/>
    <row r="295" s="7" customFormat="1" ht="14.25" customHeight="1" x14ac:dyDescent="0.3"/>
    <row r="296" s="7" customFormat="1" ht="14.25" customHeight="1" x14ac:dyDescent="0.3"/>
    <row r="297" s="7" customFormat="1" ht="14.25" customHeight="1" x14ac:dyDescent="0.3"/>
    <row r="298" s="7" customFormat="1" ht="14.25" customHeight="1" x14ac:dyDescent="0.3"/>
    <row r="299" s="7" customFormat="1" ht="14.25" customHeight="1" x14ac:dyDescent="0.3"/>
    <row r="300" s="7" customFormat="1" ht="14.25" customHeight="1" x14ac:dyDescent="0.3"/>
    <row r="301" s="7" customFormat="1" ht="14.25" customHeight="1" x14ac:dyDescent="0.3"/>
    <row r="302" s="7" customFormat="1" ht="14.25" customHeight="1" x14ac:dyDescent="0.3"/>
    <row r="303" s="7" customFormat="1" ht="14.25" customHeight="1" x14ac:dyDescent="0.3"/>
    <row r="304" s="7" customFormat="1" ht="14.25" customHeight="1" x14ac:dyDescent="0.3"/>
    <row r="305" s="7" customFormat="1" ht="14.25" customHeight="1" x14ac:dyDescent="0.3"/>
    <row r="306" s="7" customFormat="1" ht="14.25" customHeight="1" x14ac:dyDescent="0.3"/>
    <row r="307" s="7" customFormat="1" ht="14.25" customHeight="1" x14ac:dyDescent="0.3"/>
    <row r="308" s="7" customFormat="1" ht="14.25" customHeight="1" x14ac:dyDescent="0.3"/>
    <row r="309" s="7" customFormat="1" ht="14.25" customHeight="1" x14ac:dyDescent="0.3"/>
    <row r="310" s="7" customFormat="1" ht="14.25" customHeight="1" x14ac:dyDescent="0.3"/>
    <row r="311" s="7" customFormat="1" ht="14.25" customHeight="1" x14ac:dyDescent="0.3"/>
    <row r="312" s="7" customFormat="1" ht="14.25" customHeight="1" x14ac:dyDescent="0.3"/>
    <row r="313" s="7" customFormat="1" ht="14.25" customHeight="1" x14ac:dyDescent="0.3"/>
    <row r="314" s="7" customFormat="1" ht="14.25" customHeight="1" x14ac:dyDescent="0.3"/>
    <row r="315" s="7" customFormat="1" ht="14.25" customHeight="1" x14ac:dyDescent="0.3"/>
    <row r="316" s="7" customFormat="1" ht="14.25" customHeight="1" x14ac:dyDescent="0.3"/>
    <row r="317" s="7" customFormat="1" ht="14.25" customHeight="1" x14ac:dyDescent="0.3"/>
    <row r="318" s="7" customFormat="1" ht="14.25" customHeight="1" x14ac:dyDescent="0.3"/>
    <row r="319" s="7" customFormat="1" ht="14.25" customHeight="1" x14ac:dyDescent="0.3"/>
    <row r="320" s="7" customFormat="1" ht="14.25" customHeight="1" x14ac:dyDescent="0.3"/>
    <row r="321" s="7" customFormat="1" ht="14.25" customHeight="1" x14ac:dyDescent="0.3"/>
    <row r="322" s="7" customFormat="1" ht="14.25" customHeight="1" x14ac:dyDescent="0.3"/>
    <row r="323" s="7" customFormat="1" ht="14.25" customHeight="1" x14ac:dyDescent="0.3"/>
    <row r="324" s="7" customFormat="1" ht="14.25" customHeight="1" x14ac:dyDescent="0.3"/>
    <row r="325" s="7" customFormat="1" ht="14.25" customHeight="1" x14ac:dyDescent="0.3"/>
    <row r="326" s="7" customFormat="1" ht="14.25" customHeight="1" x14ac:dyDescent="0.3"/>
    <row r="327" s="7" customFormat="1" ht="14.25" customHeight="1" x14ac:dyDescent="0.3"/>
    <row r="328" s="7" customFormat="1" ht="14.25" customHeight="1" x14ac:dyDescent="0.3"/>
    <row r="329" s="7" customFormat="1" ht="14.25" customHeight="1" x14ac:dyDescent="0.3"/>
    <row r="330" s="7" customFormat="1" ht="14.25" customHeight="1" x14ac:dyDescent="0.3"/>
    <row r="331" s="7" customFormat="1" ht="14.25" customHeight="1" x14ac:dyDescent="0.3"/>
    <row r="332" s="7" customFormat="1" ht="14.25" customHeight="1" x14ac:dyDescent="0.3"/>
    <row r="333" s="7" customFormat="1" ht="14.25" customHeight="1" x14ac:dyDescent="0.3"/>
    <row r="334" s="7" customFormat="1" ht="14.25" customHeight="1" x14ac:dyDescent="0.3"/>
    <row r="335" s="7" customFormat="1" ht="14.25" customHeight="1" x14ac:dyDescent="0.3"/>
    <row r="336" s="7" customFormat="1" ht="14.25" customHeight="1" x14ac:dyDescent="0.3"/>
    <row r="337" s="7" customFormat="1" ht="14.25" customHeight="1" x14ac:dyDescent="0.3"/>
    <row r="338" s="7" customFormat="1" ht="14.25" customHeight="1" x14ac:dyDescent="0.3"/>
    <row r="339" s="7" customFormat="1" ht="14.25" customHeight="1" x14ac:dyDescent="0.3"/>
    <row r="340" s="7" customFormat="1" ht="14.25" customHeight="1" x14ac:dyDescent="0.3"/>
    <row r="341" s="7" customFormat="1" ht="14.25" customHeight="1" x14ac:dyDescent="0.3"/>
    <row r="342" s="7" customFormat="1" ht="14.25" customHeight="1" x14ac:dyDescent="0.3"/>
    <row r="343" s="7" customFormat="1" ht="14.25" customHeight="1" x14ac:dyDescent="0.3"/>
    <row r="344" s="7" customFormat="1" ht="14.25" customHeight="1" x14ac:dyDescent="0.3"/>
    <row r="345" s="7" customFormat="1" ht="14.25" customHeight="1" x14ac:dyDescent="0.3"/>
    <row r="346" s="7" customFormat="1" ht="14.25" customHeight="1" x14ac:dyDescent="0.3"/>
    <row r="347" s="7" customFormat="1" ht="14.25" customHeight="1" x14ac:dyDescent="0.3"/>
    <row r="348" s="7" customFormat="1" ht="14.25" customHeight="1" x14ac:dyDescent="0.3"/>
    <row r="349" s="7" customFormat="1" ht="14.25" customHeight="1" x14ac:dyDescent="0.3"/>
    <row r="350" s="7" customFormat="1" ht="14.25" customHeight="1" x14ac:dyDescent="0.3"/>
    <row r="351" s="7" customFormat="1" ht="14.25" customHeight="1" x14ac:dyDescent="0.3"/>
    <row r="352" s="7" customFormat="1" ht="14.25" customHeight="1" x14ac:dyDescent="0.3"/>
    <row r="353" s="7" customFormat="1" ht="14.25" customHeight="1" x14ac:dyDescent="0.3"/>
    <row r="354" s="7" customFormat="1" ht="14.25" customHeight="1" x14ac:dyDescent="0.3"/>
    <row r="355" s="7" customFormat="1" ht="14.25" customHeight="1" x14ac:dyDescent="0.3"/>
    <row r="356" s="7" customFormat="1" ht="14.25" customHeight="1" x14ac:dyDescent="0.3"/>
    <row r="357" s="7" customFormat="1" ht="14.25" customHeight="1" x14ac:dyDescent="0.3"/>
    <row r="358" s="7" customFormat="1" ht="14.25" customHeight="1" x14ac:dyDescent="0.3"/>
    <row r="359" s="7" customFormat="1" ht="14.25" customHeight="1" x14ac:dyDescent="0.3"/>
    <row r="360" s="7" customFormat="1" ht="14.25" customHeight="1" x14ac:dyDescent="0.3"/>
    <row r="361" s="7" customFormat="1" ht="14.25" customHeight="1" x14ac:dyDescent="0.3"/>
    <row r="362" s="7" customFormat="1" ht="14.25" customHeight="1" x14ac:dyDescent="0.3"/>
    <row r="363" s="7" customFormat="1" ht="14.25" customHeight="1" x14ac:dyDescent="0.3"/>
    <row r="364" s="7" customFormat="1" ht="14.25" customHeight="1" x14ac:dyDescent="0.3"/>
    <row r="365" s="7" customFormat="1" ht="14.25" customHeight="1" x14ac:dyDescent="0.3"/>
    <row r="366" s="7" customFormat="1" ht="14.25" customHeight="1" x14ac:dyDescent="0.3"/>
    <row r="367" s="7" customFormat="1" ht="14.25" customHeight="1" x14ac:dyDescent="0.3"/>
    <row r="368" s="7" customFormat="1" ht="14.25" customHeight="1" x14ac:dyDescent="0.3"/>
    <row r="369" s="7" customFormat="1" ht="14.25" customHeight="1" x14ac:dyDescent="0.3"/>
    <row r="370" s="7" customFormat="1" ht="14.25" customHeight="1" x14ac:dyDescent="0.3"/>
    <row r="371" s="7" customFormat="1" ht="14.25" customHeight="1" x14ac:dyDescent="0.3"/>
    <row r="372" s="7" customFormat="1" ht="14.25" customHeight="1" x14ac:dyDescent="0.3"/>
    <row r="373" s="7" customFormat="1" ht="14.25" customHeight="1" x14ac:dyDescent="0.3"/>
    <row r="374" s="7" customFormat="1" ht="14.25" customHeight="1" x14ac:dyDescent="0.3"/>
    <row r="375" s="7" customFormat="1" ht="14.25" customHeight="1" x14ac:dyDescent="0.3"/>
    <row r="376" s="7" customFormat="1" ht="14.25" customHeight="1" x14ac:dyDescent="0.3"/>
    <row r="377" s="7" customFormat="1" ht="14.25" customHeight="1" x14ac:dyDescent="0.3"/>
    <row r="378" s="7" customFormat="1" ht="14.25" customHeight="1" x14ac:dyDescent="0.3"/>
    <row r="379" s="7" customFormat="1" ht="14.25" customHeight="1" x14ac:dyDescent="0.3"/>
    <row r="380" s="7" customFormat="1" ht="14.25" customHeight="1" x14ac:dyDescent="0.3"/>
    <row r="381" s="7" customFormat="1" ht="14.25" customHeight="1" x14ac:dyDescent="0.3"/>
    <row r="382" s="7" customFormat="1" ht="14.25" customHeight="1" x14ac:dyDescent="0.3"/>
    <row r="383" s="7" customFormat="1" ht="14.25" customHeight="1" x14ac:dyDescent="0.3"/>
    <row r="384" s="7" customFormat="1" ht="14.25" customHeight="1" x14ac:dyDescent="0.3"/>
    <row r="385" s="7" customFormat="1" ht="14.25" customHeight="1" x14ac:dyDescent="0.3"/>
    <row r="386" s="7" customFormat="1" ht="14.25" customHeight="1" x14ac:dyDescent="0.3"/>
    <row r="387" s="7" customFormat="1" ht="14.25" customHeight="1" x14ac:dyDescent="0.3"/>
    <row r="388" s="7" customFormat="1" ht="14.25" customHeight="1" x14ac:dyDescent="0.3"/>
    <row r="389" s="7" customFormat="1" ht="14.25" customHeight="1" x14ac:dyDescent="0.3"/>
    <row r="390" s="7" customFormat="1" ht="14.25" customHeight="1" x14ac:dyDescent="0.3"/>
    <row r="391" s="7" customFormat="1" ht="14.25" customHeight="1" x14ac:dyDescent="0.3"/>
    <row r="392" s="7" customFormat="1" ht="14.25" customHeight="1" x14ac:dyDescent="0.3"/>
    <row r="393" s="7" customFormat="1" ht="14.25" customHeight="1" x14ac:dyDescent="0.3"/>
    <row r="394" s="7" customFormat="1" ht="14.25" customHeight="1" x14ac:dyDescent="0.3"/>
    <row r="395" s="7" customFormat="1" ht="14.25" customHeight="1" x14ac:dyDescent="0.3"/>
    <row r="396" s="7" customFormat="1" ht="14.25" customHeight="1" x14ac:dyDescent="0.3"/>
    <row r="397" s="7" customFormat="1" ht="14.25" customHeight="1" x14ac:dyDescent="0.3"/>
    <row r="398" s="7" customFormat="1" ht="14.25" customHeight="1" x14ac:dyDescent="0.3"/>
    <row r="399" s="7" customFormat="1" ht="14.25" customHeight="1" x14ac:dyDescent="0.3"/>
    <row r="400" s="7" customFormat="1" ht="14.25" customHeight="1" x14ac:dyDescent="0.3"/>
    <row r="401" s="7" customFormat="1" ht="14.25" customHeight="1" x14ac:dyDescent="0.3"/>
    <row r="402" s="7" customFormat="1" ht="14.25" customHeight="1" x14ac:dyDescent="0.3"/>
    <row r="403" s="7" customFormat="1" ht="14.25" customHeight="1" x14ac:dyDescent="0.3"/>
    <row r="404" s="7" customFormat="1" ht="14.25" customHeight="1" x14ac:dyDescent="0.3"/>
    <row r="405" s="7" customFormat="1" ht="14.25" customHeight="1" x14ac:dyDescent="0.3"/>
    <row r="406" s="7" customFormat="1" ht="14.25" customHeight="1" x14ac:dyDescent="0.3"/>
    <row r="407" s="7" customFormat="1" ht="14.25" customHeight="1" x14ac:dyDescent="0.3"/>
    <row r="408" s="7" customFormat="1" ht="14.25" customHeight="1" x14ac:dyDescent="0.3"/>
    <row r="409" s="7" customFormat="1" ht="14.25" customHeight="1" x14ac:dyDescent="0.3"/>
    <row r="410" s="7" customFormat="1" ht="14.25" customHeight="1" x14ac:dyDescent="0.3"/>
    <row r="411" s="7" customFormat="1" ht="14.25" customHeight="1" x14ac:dyDescent="0.3"/>
    <row r="412" s="7" customFormat="1" ht="14.25" customHeight="1" x14ac:dyDescent="0.3"/>
    <row r="413" s="7" customFormat="1" ht="14.25" customHeight="1" x14ac:dyDescent="0.3"/>
    <row r="414" s="7" customFormat="1" ht="14.25" customHeight="1" x14ac:dyDescent="0.3"/>
    <row r="415" s="7" customFormat="1" ht="14.25" customHeight="1" x14ac:dyDescent="0.3"/>
    <row r="416" s="7" customFormat="1" ht="14.25" customHeight="1" x14ac:dyDescent="0.3"/>
    <row r="417" s="7" customFormat="1" ht="14.25" customHeight="1" x14ac:dyDescent="0.3"/>
    <row r="418" s="7" customFormat="1" ht="14.25" customHeight="1" x14ac:dyDescent="0.3"/>
    <row r="419" s="7" customFormat="1" ht="14.25" customHeight="1" x14ac:dyDescent="0.3"/>
    <row r="420" s="7" customFormat="1" ht="14.25" customHeight="1" x14ac:dyDescent="0.3"/>
    <row r="421" s="7" customFormat="1" ht="14.25" customHeight="1" x14ac:dyDescent="0.3"/>
    <row r="422" s="7" customFormat="1" ht="14.25" customHeight="1" x14ac:dyDescent="0.3"/>
    <row r="423" s="7" customFormat="1" ht="14.25" customHeight="1" x14ac:dyDescent="0.3"/>
    <row r="424" s="7" customFormat="1" ht="14.25" customHeight="1" x14ac:dyDescent="0.3"/>
    <row r="425" s="7" customFormat="1" ht="14.25" customHeight="1" x14ac:dyDescent="0.3"/>
    <row r="426" s="7" customFormat="1" ht="14.25" customHeight="1" x14ac:dyDescent="0.3"/>
    <row r="427" s="7" customFormat="1" ht="14.25" customHeight="1" x14ac:dyDescent="0.3"/>
    <row r="428" s="7" customFormat="1" ht="14.25" customHeight="1" x14ac:dyDescent="0.3"/>
    <row r="429" s="7" customFormat="1" ht="14.25" customHeight="1" x14ac:dyDescent="0.3"/>
    <row r="430" s="7" customFormat="1" ht="14.25" customHeight="1" x14ac:dyDescent="0.3"/>
    <row r="431" s="7" customFormat="1" ht="14.25" customHeight="1" x14ac:dyDescent="0.3"/>
    <row r="432" s="7" customFormat="1" ht="14.25" customHeight="1" x14ac:dyDescent="0.3"/>
    <row r="433" s="7" customFormat="1" ht="14.25" customHeight="1" x14ac:dyDescent="0.3"/>
    <row r="434" s="7" customFormat="1" ht="14.25" customHeight="1" x14ac:dyDescent="0.3"/>
    <row r="435" s="7" customFormat="1" ht="14.25" customHeight="1" x14ac:dyDescent="0.3"/>
    <row r="436" s="7" customFormat="1" ht="14.25" customHeight="1" x14ac:dyDescent="0.3"/>
    <row r="437" s="7" customFormat="1" ht="14.25" customHeight="1" x14ac:dyDescent="0.3"/>
    <row r="438" s="7" customFormat="1" ht="14.25" customHeight="1" x14ac:dyDescent="0.3"/>
    <row r="439" s="7" customFormat="1" ht="14.25" customHeight="1" x14ac:dyDescent="0.3"/>
    <row r="440" s="7" customFormat="1" ht="14.25" customHeight="1" x14ac:dyDescent="0.3"/>
    <row r="441" s="7" customFormat="1" ht="14.25" customHeight="1" x14ac:dyDescent="0.3"/>
    <row r="442" s="7" customFormat="1" ht="14.25" customHeight="1" x14ac:dyDescent="0.3"/>
    <row r="443" s="7" customFormat="1" ht="14.25" customHeight="1" x14ac:dyDescent="0.3"/>
    <row r="444" s="7" customFormat="1" ht="14.25" customHeight="1" x14ac:dyDescent="0.3"/>
    <row r="445" s="7" customFormat="1" ht="14.25" customHeight="1" x14ac:dyDescent="0.3"/>
    <row r="446" s="7" customFormat="1" ht="14.25" customHeight="1" x14ac:dyDescent="0.3"/>
    <row r="447" s="7" customFormat="1" ht="14.25" customHeight="1" x14ac:dyDescent="0.3"/>
    <row r="448" s="7" customFormat="1" ht="14.25" customHeight="1" x14ac:dyDescent="0.3"/>
    <row r="449" s="7" customFormat="1" ht="14.25" customHeight="1" x14ac:dyDescent="0.3"/>
    <row r="450" s="7" customFormat="1" ht="14.25" customHeight="1" x14ac:dyDescent="0.3"/>
    <row r="451" s="7" customFormat="1" ht="14.25" customHeight="1" x14ac:dyDescent="0.3"/>
    <row r="452" s="7" customFormat="1" ht="14.25" customHeight="1" x14ac:dyDescent="0.3"/>
    <row r="453" s="7" customFormat="1" ht="14.25" customHeight="1" x14ac:dyDescent="0.3"/>
    <row r="454" s="7" customFormat="1" ht="14.25" customHeight="1" x14ac:dyDescent="0.3"/>
    <row r="455" s="7" customFormat="1" ht="14.25" customHeight="1" x14ac:dyDescent="0.3"/>
    <row r="456" s="7" customFormat="1" ht="14.25" customHeight="1" x14ac:dyDescent="0.3"/>
    <row r="457" s="7" customFormat="1" ht="14.25" customHeight="1" x14ac:dyDescent="0.3"/>
    <row r="458" s="7" customFormat="1" ht="14.25" customHeight="1" x14ac:dyDescent="0.3"/>
    <row r="459" s="7" customFormat="1" ht="14.25" customHeight="1" x14ac:dyDescent="0.3"/>
    <row r="460" s="7" customFormat="1" ht="14.25" customHeight="1" x14ac:dyDescent="0.3"/>
    <row r="461" s="7" customFormat="1" ht="14.25" customHeight="1" x14ac:dyDescent="0.3"/>
    <row r="462" s="7" customFormat="1" ht="14.25" customHeight="1" x14ac:dyDescent="0.3"/>
    <row r="463" s="7" customFormat="1" ht="14.25" customHeight="1" x14ac:dyDescent="0.3"/>
    <row r="464" s="7" customFormat="1" ht="14.25" customHeight="1" x14ac:dyDescent="0.3"/>
    <row r="465" s="7" customFormat="1" ht="14.25" customHeight="1" x14ac:dyDescent="0.3"/>
    <row r="466" s="7" customFormat="1" ht="14.25" customHeight="1" x14ac:dyDescent="0.3"/>
    <row r="467" s="7" customFormat="1" ht="14.25" customHeight="1" x14ac:dyDescent="0.3"/>
    <row r="468" s="7" customFormat="1" ht="14.25" customHeight="1" x14ac:dyDescent="0.3"/>
    <row r="469" s="7" customFormat="1" ht="14.25" customHeight="1" x14ac:dyDescent="0.3"/>
    <row r="470" s="7" customFormat="1" ht="14.25" customHeight="1" x14ac:dyDescent="0.3"/>
    <row r="471" s="7" customFormat="1" ht="14.25" customHeight="1" x14ac:dyDescent="0.3"/>
    <row r="472" s="7" customFormat="1" ht="14.25" customHeight="1" x14ac:dyDescent="0.3"/>
    <row r="473" s="7" customFormat="1" ht="14.25" customHeight="1" x14ac:dyDescent="0.3"/>
    <row r="474" s="7" customFormat="1" ht="14.25" customHeight="1" x14ac:dyDescent="0.3"/>
    <row r="475" s="7" customFormat="1" ht="14.25" customHeight="1" x14ac:dyDescent="0.3"/>
    <row r="476" s="7" customFormat="1" ht="14.25" customHeight="1" x14ac:dyDescent="0.3"/>
    <row r="477" s="7" customFormat="1" ht="14.25" customHeight="1" x14ac:dyDescent="0.3"/>
    <row r="478" s="7" customFormat="1" ht="14.25" customHeight="1" x14ac:dyDescent="0.3"/>
    <row r="479" s="7" customFormat="1" ht="14.25" customHeight="1" x14ac:dyDescent="0.3"/>
    <row r="480" s="7" customFormat="1" ht="14.25" customHeight="1" x14ac:dyDescent="0.3"/>
    <row r="481" s="7" customFormat="1" ht="14.25" customHeight="1" x14ac:dyDescent="0.3"/>
    <row r="482" s="7" customFormat="1" ht="14.25" customHeight="1" x14ac:dyDescent="0.3"/>
    <row r="483" s="7" customFormat="1" ht="14.25" customHeight="1" x14ac:dyDescent="0.3"/>
    <row r="484" s="7" customFormat="1" ht="14.25" customHeight="1" x14ac:dyDescent="0.3"/>
    <row r="485" s="7" customFormat="1" ht="14.25" customHeight="1" x14ac:dyDescent="0.3"/>
    <row r="486" s="7" customFormat="1" ht="14.25" customHeight="1" x14ac:dyDescent="0.3"/>
    <row r="487" s="7" customFormat="1" ht="14.25" customHeight="1" x14ac:dyDescent="0.3"/>
    <row r="488" s="7" customFormat="1" ht="14.25" customHeight="1" x14ac:dyDescent="0.3"/>
    <row r="489" s="7" customFormat="1" ht="14.25" customHeight="1" x14ac:dyDescent="0.3"/>
    <row r="490" s="7" customFormat="1" ht="14.25" customHeight="1" x14ac:dyDescent="0.3"/>
    <row r="491" s="7" customFormat="1" ht="14.25" customHeight="1" x14ac:dyDescent="0.3"/>
    <row r="492" s="7" customFormat="1" ht="14.25" customHeight="1" x14ac:dyDescent="0.3"/>
    <row r="493" s="7" customFormat="1" ht="14.25" customHeight="1" x14ac:dyDescent="0.3"/>
    <row r="494" s="7" customFormat="1" ht="14.25" customHeight="1" x14ac:dyDescent="0.3"/>
    <row r="495" s="7" customFormat="1" ht="14.25" customHeight="1" x14ac:dyDescent="0.3"/>
    <row r="496" s="7" customFormat="1" ht="14.25" customHeight="1" x14ac:dyDescent="0.3"/>
    <row r="497" s="7" customFormat="1" ht="14.25" customHeight="1" x14ac:dyDescent="0.3"/>
    <row r="498" s="7" customFormat="1" ht="14.25" customHeight="1" x14ac:dyDescent="0.3"/>
    <row r="499" s="7" customFormat="1" ht="14.25" customHeight="1" x14ac:dyDescent="0.3"/>
    <row r="500" s="7" customFormat="1" ht="14.25" customHeight="1" x14ac:dyDescent="0.3"/>
    <row r="501" s="7" customFormat="1" ht="14.25" customHeight="1" x14ac:dyDescent="0.3"/>
    <row r="502" s="7" customFormat="1" ht="14.25" customHeight="1" x14ac:dyDescent="0.3"/>
    <row r="503" s="7" customFormat="1" ht="14.25" customHeight="1" x14ac:dyDescent="0.3"/>
    <row r="504" s="7" customFormat="1" ht="14.25" customHeight="1" x14ac:dyDescent="0.3"/>
    <row r="505" s="7" customFormat="1" ht="14.25" customHeight="1" x14ac:dyDescent="0.3"/>
    <row r="506" s="7" customFormat="1" ht="14.25" customHeight="1" x14ac:dyDescent="0.3"/>
    <row r="507" s="7" customFormat="1" ht="14.25" customHeight="1" x14ac:dyDescent="0.3"/>
    <row r="508" s="7" customFormat="1" ht="14.25" customHeight="1" x14ac:dyDescent="0.3"/>
    <row r="509" s="7" customFormat="1" ht="14.25" customHeight="1" x14ac:dyDescent="0.3"/>
    <row r="510" s="7" customFormat="1" ht="14.25" customHeight="1" x14ac:dyDescent="0.3"/>
    <row r="511" s="7" customFormat="1" ht="14.25" customHeight="1" x14ac:dyDescent="0.3"/>
    <row r="512" s="7" customFormat="1" ht="14.25" customHeight="1" x14ac:dyDescent="0.3"/>
    <row r="513" s="7" customFormat="1" ht="14.25" customHeight="1" x14ac:dyDescent="0.3"/>
    <row r="514" s="7" customFormat="1" ht="14.25" customHeight="1" x14ac:dyDescent="0.3"/>
    <row r="515" s="7" customFormat="1" ht="14.25" customHeight="1" x14ac:dyDescent="0.3"/>
    <row r="516" s="7" customFormat="1" ht="14.25" customHeight="1" x14ac:dyDescent="0.3"/>
    <row r="517" s="7" customFormat="1" ht="14.25" customHeight="1" x14ac:dyDescent="0.3"/>
    <row r="518" s="7" customFormat="1" ht="14.25" customHeight="1" x14ac:dyDescent="0.3"/>
    <row r="519" s="7" customFormat="1" ht="14.25" customHeight="1" x14ac:dyDescent="0.3"/>
    <row r="520" s="7" customFormat="1" ht="14.25" customHeight="1" x14ac:dyDescent="0.3"/>
    <row r="521" s="7" customFormat="1" ht="14.25" customHeight="1" x14ac:dyDescent="0.3"/>
    <row r="522" s="7" customFormat="1" ht="14.25" customHeight="1" x14ac:dyDescent="0.3"/>
    <row r="523" s="7" customFormat="1" ht="14.25" customHeight="1" x14ac:dyDescent="0.3"/>
    <row r="524" s="7" customFormat="1" ht="14.25" customHeight="1" x14ac:dyDescent="0.3"/>
    <row r="525" s="7" customFormat="1" ht="14.25" customHeight="1" x14ac:dyDescent="0.3"/>
    <row r="526" s="7" customFormat="1" ht="14.25" customHeight="1" x14ac:dyDescent="0.3"/>
    <row r="527" s="7" customFormat="1" ht="14.25" customHeight="1" x14ac:dyDescent="0.3"/>
    <row r="528" s="7" customFormat="1" ht="14.25" customHeight="1" x14ac:dyDescent="0.3"/>
    <row r="529" s="7" customFormat="1" ht="14.25" customHeight="1" x14ac:dyDescent="0.3"/>
    <row r="530" s="7" customFormat="1" ht="14.25" customHeight="1" x14ac:dyDescent="0.3"/>
    <row r="531" s="7" customFormat="1" ht="14.25" customHeight="1" x14ac:dyDescent="0.3"/>
    <row r="532" s="7" customFormat="1" ht="14.25" customHeight="1" x14ac:dyDescent="0.3"/>
    <row r="533" s="7" customFormat="1" ht="14.25" customHeight="1" x14ac:dyDescent="0.3"/>
    <row r="534" s="7" customFormat="1" ht="14.25" customHeight="1" x14ac:dyDescent="0.3"/>
    <row r="535" s="7" customFormat="1" ht="14.25" customHeight="1" x14ac:dyDescent="0.3"/>
    <row r="536" s="7" customFormat="1" ht="14.25" customHeight="1" x14ac:dyDescent="0.3"/>
    <row r="537" s="7" customFormat="1" ht="14.25" customHeight="1" x14ac:dyDescent="0.3"/>
    <row r="538" s="7" customFormat="1" ht="14.25" customHeight="1" x14ac:dyDescent="0.3"/>
    <row r="539" s="7" customFormat="1" ht="14.25" customHeight="1" x14ac:dyDescent="0.3"/>
    <row r="540" s="7" customFormat="1" ht="14.25" customHeight="1" x14ac:dyDescent="0.3"/>
    <row r="541" s="7" customFormat="1" ht="14.25" customHeight="1" x14ac:dyDescent="0.3"/>
    <row r="542" s="7" customFormat="1" ht="14.25" customHeight="1" x14ac:dyDescent="0.3"/>
    <row r="543" s="7" customFormat="1" ht="14.25" customHeight="1" x14ac:dyDescent="0.3"/>
    <row r="544" s="7" customFormat="1" ht="14.25" customHeight="1" x14ac:dyDescent="0.3"/>
    <row r="545" s="7" customFormat="1" ht="14.25" customHeight="1" x14ac:dyDescent="0.3"/>
    <row r="546" s="7" customFormat="1" ht="14.25" customHeight="1" x14ac:dyDescent="0.3"/>
    <row r="547" s="7" customFormat="1" ht="14.25" customHeight="1" x14ac:dyDescent="0.3"/>
    <row r="548" s="7" customFormat="1" ht="14.25" customHeight="1" x14ac:dyDescent="0.3"/>
    <row r="549" s="7" customFormat="1" ht="14.25" customHeight="1" x14ac:dyDescent="0.3"/>
    <row r="550" s="7" customFormat="1" ht="14.25" customHeight="1" x14ac:dyDescent="0.3"/>
    <row r="551" s="7" customFormat="1" ht="14.25" customHeight="1" x14ac:dyDescent="0.3"/>
    <row r="552" s="7" customFormat="1" ht="14.25" customHeight="1" x14ac:dyDescent="0.3"/>
    <row r="553" s="7" customFormat="1" ht="14.25" customHeight="1" x14ac:dyDescent="0.3"/>
    <row r="554" s="7" customFormat="1" ht="14.25" customHeight="1" x14ac:dyDescent="0.3"/>
    <row r="555" s="7" customFormat="1" ht="14.25" customHeight="1" x14ac:dyDescent="0.3"/>
    <row r="556" s="7" customFormat="1" ht="14.25" customHeight="1" x14ac:dyDescent="0.3"/>
    <row r="557" s="7" customFormat="1" ht="14.25" customHeight="1" x14ac:dyDescent="0.3"/>
    <row r="558" s="7" customFormat="1" ht="14.25" customHeight="1" x14ac:dyDescent="0.3"/>
    <row r="559" s="7" customFormat="1" ht="14.25" customHeight="1" x14ac:dyDescent="0.3"/>
    <row r="560" s="7" customFormat="1" ht="14.25" customHeight="1" x14ac:dyDescent="0.3"/>
    <row r="561" s="7" customFormat="1" ht="14.25" customHeight="1" x14ac:dyDescent="0.3"/>
    <row r="562" s="7" customFormat="1" ht="14.25" customHeight="1" x14ac:dyDescent="0.3"/>
    <row r="563" s="7" customFormat="1" ht="14.25" customHeight="1" x14ac:dyDescent="0.3"/>
    <row r="564" s="7" customFormat="1" ht="14.25" customHeight="1" x14ac:dyDescent="0.3"/>
    <row r="565" s="7" customFormat="1" ht="14.25" customHeight="1" x14ac:dyDescent="0.3"/>
    <row r="566" s="7" customFormat="1" ht="14.25" customHeight="1" x14ac:dyDescent="0.3"/>
    <row r="567" s="7" customFormat="1" ht="14.25" customHeight="1" x14ac:dyDescent="0.3"/>
    <row r="568" s="7" customFormat="1" ht="14.25" customHeight="1" x14ac:dyDescent="0.3"/>
    <row r="569" s="7" customFormat="1" ht="14.25" customHeight="1" x14ac:dyDescent="0.3"/>
    <row r="570" s="7" customFormat="1" ht="14.25" customHeight="1" x14ac:dyDescent="0.3"/>
    <row r="571" s="7" customFormat="1" ht="14.25" customHeight="1" x14ac:dyDescent="0.3"/>
    <row r="572" s="7" customFormat="1" ht="14.25" customHeight="1" x14ac:dyDescent="0.3"/>
    <row r="573" s="7" customFormat="1" ht="14.25" customHeight="1" x14ac:dyDescent="0.3"/>
    <row r="574" s="7" customFormat="1" ht="14.25" customHeight="1" x14ac:dyDescent="0.3"/>
    <row r="575" s="7" customFormat="1" ht="14.25" customHeight="1" x14ac:dyDescent="0.3"/>
    <row r="576" s="7" customFormat="1" ht="14.25" customHeight="1" x14ac:dyDescent="0.3"/>
    <row r="577" s="7" customFormat="1" ht="14.25" customHeight="1" x14ac:dyDescent="0.3"/>
    <row r="578" s="7" customFormat="1" ht="14.25" customHeight="1" x14ac:dyDescent="0.3"/>
    <row r="579" s="7" customFormat="1" ht="14.25" customHeight="1" x14ac:dyDescent="0.3"/>
    <row r="580" s="7" customFormat="1" ht="14.25" customHeight="1" x14ac:dyDescent="0.3"/>
    <row r="581" s="7" customFormat="1" ht="14.25" customHeight="1" x14ac:dyDescent="0.3"/>
    <row r="582" s="7" customFormat="1" ht="14.25" customHeight="1" x14ac:dyDescent="0.3"/>
    <row r="583" s="7" customFormat="1" ht="14.25" customHeight="1" x14ac:dyDescent="0.3"/>
    <row r="584" s="7" customFormat="1" ht="14.25" customHeight="1" x14ac:dyDescent="0.3"/>
    <row r="585" s="7" customFormat="1" ht="14.25" customHeight="1" x14ac:dyDescent="0.3"/>
    <row r="586" s="7" customFormat="1" ht="14.25" customHeight="1" x14ac:dyDescent="0.3"/>
    <row r="587" s="7" customFormat="1" ht="14.25" customHeight="1" x14ac:dyDescent="0.3"/>
    <row r="588" s="7" customFormat="1" ht="14.25" customHeight="1" x14ac:dyDescent="0.3"/>
    <row r="589" s="7" customFormat="1" ht="14.25" customHeight="1" x14ac:dyDescent="0.3"/>
    <row r="590" s="7" customFormat="1" ht="14.25" customHeight="1" x14ac:dyDescent="0.3"/>
    <row r="591" s="7" customFormat="1" ht="14.25" customHeight="1" x14ac:dyDescent="0.3"/>
    <row r="592" s="7" customFormat="1" ht="14.25" customHeight="1" x14ac:dyDescent="0.3"/>
    <row r="593" s="7" customFormat="1" ht="14.25" customHeight="1" x14ac:dyDescent="0.3"/>
    <row r="594" s="7" customFormat="1" ht="14.25" customHeight="1" x14ac:dyDescent="0.3"/>
    <row r="595" s="7" customFormat="1" ht="14.25" customHeight="1" x14ac:dyDescent="0.3"/>
    <row r="596" s="7" customFormat="1" ht="14.25" customHeight="1" x14ac:dyDescent="0.3"/>
    <row r="597" s="7" customFormat="1" ht="14.25" customHeight="1" x14ac:dyDescent="0.3"/>
    <row r="598" s="7" customFormat="1" ht="14.25" customHeight="1" x14ac:dyDescent="0.3"/>
    <row r="599" s="7" customFormat="1" ht="14.25" customHeight="1" x14ac:dyDescent="0.3"/>
    <row r="600" s="7" customFormat="1" ht="14.25" customHeight="1" x14ac:dyDescent="0.3"/>
    <row r="601" s="7" customFormat="1" ht="14.25" customHeight="1" x14ac:dyDescent="0.3"/>
    <row r="602" s="7" customFormat="1" ht="14.25" customHeight="1" x14ac:dyDescent="0.3"/>
    <row r="603" s="7" customFormat="1" ht="14.25" customHeight="1" x14ac:dyDescent="0.3"/>
    <row r="604" s="7" customFormat="1" ht="14.25" customHeight="1" x14ac:dyDescent="0.3"/>
    <row r="605" s="7" customFormat="1" ht="14.25" customHeight="1" x14ac:dyDescent="0.3"/>
    <row r="606" s="7" customFormat="1" ht="14.25" customHeight="1" x14ac:dyDescent="0.3"/>
    <row r="607" s="7" customFormat="1" ht="14.25" customHeight="1" x14ac:dyDescent="0.3"/>
    <row r="608" s="7" customFormat="1" ht="14.25" customHeight="1" x14ac:dyDescent="0.3"/>
    <row r="609" s="7" customFormat="1" ht="14.25" customHeight="1" x14ac:dyDescent="0.3"/>
    <row r="610" s="7" customFormat="1" ht="14.25" customHeight="1" x14ac:dyDescent="0.3"/>
    <row r="611" s="7" customFormat="1" ht="14.25" customHeight="1" x14ac:dyDescent="0.3"/>
    <row r="612" s="7" customFormat="1" ht="14.25" customHeight="1" x14ac:dyDescent="0.3"/>
    <row r="613" s="7" customFormat="1" ht="14.25" customHeight="1" x14ac:dyDescent="0.3"/>
    <row r="614" s="7" customFormat="1" ht="14.25" customHeight="1" x14ac:dyDescent="0.3"/>
    <row r="615" s="7" customFormat="1" ht="14.25" customHeight="1" x14ac:dyDescent="0.3"/>
    <row r="616" s="7" customFormat="1" ht="14.25" customHeight="1" x14ac:dyDescent="0.3"/>
    <row r="617" s="7" customFormat="1" ht="14.25" customHeight="1" x14ac:dyDescent="0.3"/>
    <row r="618" s="7" customFormat="1" ht="14.25" customHeight="1" x14ac:dyDescent="0.3"/>
    <row r="619" s="7" customFormat="1" ht="14.25" customHeight="1" x14ac:dyDescent="0.3"/>
    <row r="620" s="7" customFormat="1" ht="14.25" customHeight="1" x14ac:dyDescent="0.3"/>
    <row r="621" s="7" customFormat="1" ht="14.25" customHeight="1" x14ac:dyDescent="0.3"/>
    <row r="622" s="7" customFormat="1" ht="14.25" customHeight="1" x14ac:dyDescent="0.3"/>
    <row r="623" s="7" customFormat="1" ht="14.25" customHeight="1" x14ac:dyDescent="0.3"/>
    <row r="624" s="7" customFormat="1" ht="14.25" customHeight="1" x14ac:dyDescent="0.3"/>
    <row r="625" s="7" customFormat="1" ht="14.25" customHeight="1" x14ac:dyDescent="0.3"/>
    <row r="626" s="7" customFormat="1" ht="14.25" customHeight="1" x14ac:dyDescent="0.3"/>
    <row r="627" s="7" customFormat="1" ht="14.25" customHeight="1" x14ac:dyDescent="0.3"/>
    <row r="628" s="7" customFormat="1" ht="14.25" customHeight="1" x14ac:dyDescent="0.3"/>
    <row r="629" s="7" customFormat="1" ht="14.25" customHeight="1" x14ac:dyDescent="0.3"/>
    <row r="630" s="7" customFormat="1" ht="14.25" customHeight="1" x14ac:dyDescent="0.3"/>
    <row r="631" s="7" customFormat="1" ht="14.25" customHeight="1" x14ac:dyDescent="0.3"/>
    <row r="632" s="7" customFormat="1" ht="14.25" customHeight="1" x14ac:dyDescent="0.3"/>
    <row r="633" s="7" customFormat="1" ht="14.25" customHeight="1" x14ac:dyDescent="0.3"/>
    <row r="634" s="7" customFormat="1" ht="14.25" customHeight="1" x14ac:dyDescent="0.3"/>
    <row r="635" s="7" customFormat="1" ht="14.25" customHeight="1" x14ac:dyDescent="0.3"/>
    <row r="636" s="7" customFormat="1" ht="14.25" customHeight="1" x14ac:dyDescent="0.3"/>
    <row r="637" s="7" customFormat="1" ht="14.25" customHeight="1" x14ac:dyDescent="0.3"/>
    <row r="638" s="7" customFormat="1" ht="14.25" customHeight="1" x14ac:dyDescent="0.3"/>
    <row r="639" s="7" customFormat="1" ht="14.25" customHeight="1" x14ac:dyDescent="0.3"/>
    <row r="640" s="7" customFormat="1" ht="14.25" customHeight="1" x14ac:dyDescent="0.3"/>
    <row r="641" s="7" customFormat="1" ht="14.25" customHeight="1" x14ac:dyDescent="0.3"/>
    <row r="642" s="7" customFormat="1" ht="14.25" customHeight="1" x14ac:dyDescent="0.3"/>
    <row r="643" s="7" customFormat="1" ht="14.25" customHeight="1" x14ac:dyDescent="0.3"/>
    <row r="644" s="7" customFormat="1" ht="14.25" customHeight="1" x14ac:dyDescent="0.3"/>
    <row r="645" s="7" customFormat="1" ht="14.25" customHeight="1" x14ac:dyDescent="0.3"/>
    <row r="646" s="7" customFormat="1" ht="14.25" customHeight="1" x14ac:dyDescent="0.3"/>
    <row r="647" s="7" customFormat="1" ht="14.25" customHeight="1" x14ac:dyDescent="0.3"/>
    <row r="648" s="7" customFormat="1" ht="14.25" customHeight="1" x14ac:dyDescent="0.3"/>
    <row r="649" s="7" customFormat="1" ht="14.25" customHeight="1" x14ac:dyDescent="0.3"/>
    <row r="650" s="7" customFormat="1" ht="14.25" customHeight="1" x14ac:dyDescent="0.3"/>
    <row r="651" s="7" customFormat="1" ht="14.25" customHeight="1" x14ac:dyDescent="0.3"/>
    <row r="652" s="7" customFormat="1" ht="14.25" customHeight="1" x14ac:dyDescent="0.3"/>
    <row r="653" s="7" customFormat="1" ht="14.25" customHeight="1" x14ac:dyDescent="0.3"/>
    <row r="654" s="7" customFormat="1" ht="14.25" customHeight="1" x14ac:dyDescent="0.3"/>
    <row r="655" s="7" customFormat="1" ht="14.25" customHeight="1" x14ac:dyDescent="0.3"/>
    <row r="656" s="7" customFormat="1" ht="14.25" customHeight="1" x14ac:dyDescent="0.3"/>
    <row r="657" s="7" customFormat="1" ht="14.25" customHeight="1" x14ac:dyDescent="0.3"/>
    <row r="658" s="7" customFormat="1" ht="14.25" customHeight="1" x14ac:dyDescent="0.3"/>
    <row r="659" s="7" customFormat="1" ht="14.25" customHeight="1" x14ac:dyDescent="0.3"/>
    <row r="660" s="7" customFormat="1" ht="14.25" customHeight="1" x14ac:dyDescent="0.3"/>
    <row r="661" s="7" customFormat="1" ht="14.25" customHeight="1" x14ac:dyDescent="0.3"/>
    <row r="662" s="7" customFormat="1" ht="14.25" customHeight="1" x14ac:dyDescent="0.3"/>
    <row r="663" s="7" customFormat="1" ht="14.25" customHeight="1" x14ac:dyDescent="0.3"/>
    <row r="664" s="7" customFormat="1" ht="14.25" customHeight="1" x14ac:dyDescent="0.3"/>
    <row r="665" s="7" customFormat="1" ht="14.25" customHeight="1" x14ac:dyDescent="0.3"/>
    <row r="666" s="7" customFormat="1" ht="14.25" customHeight="1" x14ac:dyDescent="0.3"/>
    <row r="667" s="7" customFormat="1" ht="14.25" customHeight="1" x14ac:dyDescent="0.3"/>
    <row r="668" s="7" customFormat="1" ht="14.25" customHeight="1" x14ac:dyDescent="0.3"/>
    <row r="669" s="7" customFormat="1" ht="14.25" customHeight="1" x14ac:dyDescent="0.3"/>
    <row r="670" s="7" customFormat="1" ht="14.25" customHeight="1" x14ac:dyDescent="0.3"/>
    <row r="671" s="7" customFormat="1" ht="14.25" customHeight="1" x14ac:dyDescent="0.3"/>
    <row r="672" s="7" customFormat="1" ht="14.25" customHeight="1" x14ac:dyDescent="0.3"/>
    <row r="673" s="7" customFormat="1" ht="14.25" customHeight="1" x14ac:dyDescent="0.3"/>
    <row r="674" s="7" customFormat="1" ht="14.25" customHeight="1" x14ac:dyDescent="0.3"/>
    <row r="675" s="7" customFormat="1" ht="14.25" customHeight="1" x14ac:dyDescent="0.3"/>
    <row r="676" s="7" customFormat="1" ht="14.25" customHeight="1" x14ac:dyDescent="0.3"/>
    <row r="677" s="7" customFormat="1" ht="14.25" customHeight="1" x14ac:dyDescent="0.3"/>
    <row r="678" s="7" customFormat="1" ht="14.25" customHeight="1" x14ac:dyDescent="0.3"/>
    <row r="679" s="7" customFormat="1" ht="14.25" customHeight="1" x14ac:dyDescent="0.3"/>
    <row r="680" s="7" customFormat="1" ht="14.25" customHeight="1" x14ac:dyDescent="0.3"/>
    <row r="681" s="7" customFormat="1" ht="14.25" customHeight="1" x14ac:dyDescent="0.3"/>
    <row r="682" s="7" customFormat="1" ht="14.25" customHeight="1" x14ac:dyDescent="0.3"/>
    <row r="683" s="7" customFormat="1" ht="14.25" customHeight="1" x14ac:dyDescent="0.3"/>
    <row r="684" s="7" customFormat="1" ht="14.25" customHeight="1" x14ac:dyDescent="0.3"/>
    <row r="685" s="7" customFormat="1" ht="14.25" customHeight="1" x14ac:dyDescent="0.3"/>
    <row r="686" s="7" customFormat="1" ht="14.25" customHeight="1" x14ac:dyDescent="0.3"/>
    <row r="687" s="7" customFormat="1" ht="14.25" customHeight="1" x14ac:dyDescent="0.3"/>
    <row r="688" s="7" customFormat="1" ht="14.25" customHeight="1" x14ac:dyDescent="0.3"/>
    <row r="689" s="7" customFormat="1" ht="14.25" customHeight="1" x14ac:dyDescent="0.3"/>
    <row r="690" s="7" customFormat="1" ht="14.25" customHeight="1" x14ac:dyDescent="0.3"/>
    <row r="691" s="7" customFormat="1" ht="14.25" customHeight="1" x14ac:dyDescent="0.3"/>
    <row r="692" s="7" customFormat="1" ht="14.25" customHeight="1" x14ac:dyDescent="0.3"/>
    <row r="693" s="7" customFormat="1" ht="14.25" customHeight="1" x14ac:dyDescent="0.3"/>
    <row r="694" s="7" customFormat="1" ht="14.25" customHeight="1" x14ac:dyDescent="0.3"/>
    <row r="695" s="7" customFormat="1" ht="14.25" customHeight="1" x14ac:dyDescent="0.3"/>
    <row r="696" s="7" customFormat="1" ht="14.25" customHeight="1" x14ac:dyDescent="0.3"/>
    <row r="697" s="7" customFormat="1" ht="14.25" customHeight="1" x14ac:dyDescent="0.3"/>
    <row r="698" s="7" customFormat="1" ht="14.25" customHeight="1" x14ac:dyDescent="0.3"/>
    <row r="699" s="7" customFormat="1" ht="14.25" customHeight="1" x14ac:dyDescent="0.3"/>
    <row r="700" s="7" customFormat="1" ht="14.25" customHeight="1" x14ac:dyDescent="0.3"/>
    <row r="701" s="7" customFormat="1" ht="14.25" customHeight="1" x14ac:dyDescent="0.3"/>
    <row r="702" s="7" customFormat="1" ht="14.25" customHeight="1" x14ac:dyDescent="0.3"/>
    <row r="703" s="7" customFormat="1" ht="14.25" customHeight="1" x14ac:dyDescent="0.3"/>
    <row r="704" s="7" customFormat="1" ht="14.25" customHeight="1" x14ac:dyDescent="0.3"/>
    <row r="705" s="7" customFormat="1" ht="14.25" customHeight="1" x14ac:dyDescent="0.3"/>
    <row r="706" s="7" customFormat="1" ht="14.25" customHeight="1" x14ac:dyDescent="0.3"/>
    <row r="707" s="7" customFormat="1" ht="14.25" customHeight="1" x14ac:dyDescent="0.3"/>
    <row r="708" s="7" customFormat="1" ht="14.25" customHeight="1" x14ac:dyDescent="0.3"/>
    <row r="709" s="7" customFormat="1" ht="14.25" customHeight="1" x14ac:dyDescent="0.3"/>
    <row r="710" s="7" customFormat="1" ht="14.25" customHeight="1" x14ac:dyDescent="0.3"/>
    <row r="711" s="7" customFormat="1" ht="14.25" customHeight="1" x14ac:dyDescent="0.3"/>
    <row r="712" s="7" customFormat="1" ht="14.25" customHeight="1" x14ac:dyDescent="0.3"/>
    <row r="713" s="7" customFormat="1" ht="14.25" customHeight="1" x14ac:dyDescent="0.3"/>
    <row r="714" s="7" customFormat="1" ht="14.25" customHeight="1" x14ac:dyDescent="0.3"/>
    <row r="715" s="7" customFormat="1" ht="14.25" customHeight="1" x14ac:dyDescent="0.3"/>
    <row r="716" s="7" customFormat="1" ht="14.25" customHeight="1" x14ac:dyDescent="0.3"/>
    <row r="717" s="7" customFormat="1" ht="14.25" customHeight="1" x14ac:dyDescent="0.3"/>
    <row r="718" s="7" customFormat="1" ht="14.25" customHeight="1" x14ac:dyDescent="0.3"/>
    <row r="719" s="7" customFormat="1" ht="14.25" customHeight="1" x14ac:dyDescent="0.3"/>
    <row r="720" s="7" customFormat="1" ht="14.25" customHeight="1" x14ac:dyDescent="0.3"/>
    <row r="721" s="7" customFormat="1" ht="14.25" customHeight="1" x14ac:dyDescent="0.3"/>
    <row r="722" s="7" customFormat="1" ht="14.25" customHeight="1" x14ac:dyDescent="0.3"/>
    <row r="723" s="7" customFormat="1" ht="14.25" customHeight="1" x14ac:dyDescent="0.3"/>
    <row r="724" s="7" customFormat="1" ht="14.25" customHeight="1" x14ac:dyDescent="0.3"/>
    <row r="725" s="7" customFormat="1" ht="14.25" customHeight="1" x14ac:dyDescent="0.3"/>
    <row r="726" s="7" customFormat="1" ht="14.25" customHeight="1" x14ac:dyDescent="0.3"/>
    <row r="727" s="7" customFormat="1" ht="14.25" customHeight="1" x14ac:dyDescent="0.3"/>
    <row r="728" s="7" customFormat="1" ht="14.25" customHeight="1" x14ac:dyDescent="0.3"/>
    <row r="729" s="7" customFormat="1" ht="14.25" customHeight="1" x14ac:dyDescent="0.3"/>
    <row r="730" s="7" customFormat="1" ht="14.25" customHeight="1" x14ac:dyDescent="0.3"/>
    <row r="731" s="7" customFormat="1" ht="14.25" customHeight="1" x14ac:dyDescent="0.3"/>
    <row r="732" s="7" customFormat="1" ht="14.25" customHeight="1" x14ac:dyDescent="0.3"/>
    <row r="733" s="7" customFormat="1" ht="14.25" customHeight="1" x14ac:dyDescent="0.3"/>
    <row r="734" s="7" customFormat="1" ht="14.25" customHeight="1" x14ac:dyDescent="0.3"/>
    <row r="735" s="7" customFormat="1" ht="14.25" customHeight="1" x14ac:dyDescent="0.3"/>
    <row r="736" s="7" customFormat="1" ht="14.25" customHeight="1" x14ac:dyDescent="0.3"/>
    <row r="737" s="7" customFormat="1" ht="14.25" customHeight="1" x14ac:dyDescent="0.3"/>
    <row r="738" s="7" customFormat="1" ht="14.25" customHeight="1" x14ac:dyDescent="0.3"/>
    <row r="739" s="7" customFormat="1" ht="14.25" customHeight="1" x14ac:dyDescent="0.3"/>
    <row r="740" s="7" customFormat="1" ht="14.25" customHeight="1" x14ac:dyDescent="0.3"/>
    <row r="741" s="7" customFormat="1" ht="14.25" customHeight="1" x14ac:dyDescent="0.3"/>
    <row r="742" s="7" customFormat="1" ht="14.25" customHeight="1" x14ac:dyDescent="0.3"/>
    <row r="743" s="7" customFormat="1" ht="14.25" customHeight="1" x14ac:dyDescent="0.3"/>
    <row r="744" s="7" customFormat="1" ht="14.25" customHeight="1" x14ac:dyDescent="0.3"/>
    <row r="745" s="7" customFormat="1" ht="14.25" customHeight="1" x14ac:dyDescent="0.3"/>
    <row r="746" s="7" customFormat="1" ht="14.25" customHeight="1" x14ac:dyDescent="0.3"/>
    <row r="747" s="7" customFormat="1" ht="14.25" customHeight="1" x14ac:dyDescent="0.3"/>
    <row r="748" s="7" customFormat="1" ht="14.25" customHeight="1" x14ac:dyDescent="0.3"/>
    <row r="749" s="7" customFormat="1" ht="14.25" customHeight="1" x14ac:dyDescent="0.3"/>
    <row r="750" s="7" customFormat="1" ht="14.25" customHeight="1" x14ac:dyDescent="0.3"/>
    <row r="751" s="7" customFormat="1" ht="14.25" customHeight="1" x14ac:dyDescent="0.3"/>
    <row r="752" s="7" customFormat="1" ht="14.25" customHeight="1" x14ac:dyDescent="0.3"/>
    <row r="753" s="7" customFormat="1" ht="14.25" customHeight="1" x14ac:dyDescent="0.3"/>
    <row r="754" s="7" customFormat="1" ht="14.25" customHeight="1" x14ac:dyDescent="0.3"/>
    <row r="755" s="7" customFormat="1" ht="14.25" customHeight="1" x14ac:dyDescent="0.3"/>
    <row r="756" s="7" customFormat="1" ht="14.25" customHeight="1" x14ac:dyDescent="0.3"/>
    <row r="757" s="7" customFormat="1" ht="14.25" customHeight="1" x14ac:dyDescent="0.3"/>
    <row r="758" s="7" customFormat="1" ht="14.25" customHeight="1" x14ac:dyDescent="0.3"/>
    <row r="759" s="7" customFormat="1" ht="14.25" customHeight="1" x14ac:dyDescent="0.3"/>
    <row r="760" s="7" customFormat="1" ht="14.25" customHeight="1" x14ac:dyDescent="0.3"/>
    <row r="761" s="7" customFormat="1" ht="14.25" customHeight="1" x14ac:dyDescent="0.3"/>
    <row r="762" s="7" customFormat="1" ht="14.25" customHeight="1" x14ac:dyDescent="0.3"/>
    <row r="763" s="7" customFormat="1" ht="14.25" customHeight="1" x14ac:dyDescent="0.3"/>
    <row r="764" s="7" customFormat="1" ht="14.25" customHeight="1" x14ac:dyDescent="0.3"/>
    <row r="765" s="7" customFormat="1" ht="14.25" customHeight="1" x14ac:dyDescent="0.3"/>
    <row r="766" s="7" customFormat="1" ht="14.25" customHeight="1" x14ac:dyDescent="0.3"/>
    <row r="767" s="7" customFormat="1" ht="14.25" customHeight="1" x14ac:dyDescent="0.3"/>
    <row r="768" s="7" customFormat="1" ht="14.25" customHeight="1" x14ac:dyDescent="0.3"/>
    <row r="769" s="7" customFormat="1" ht="14.25" customHeight="1" x14ac:dyDescent="0.3"/>
    <row r="770" s="7" customFormat="1" ht="14.25" customHeight="1" x14ac:dyDescent="0.3"/>
    <row r="771" s="7" customFormat="1" ht="14.25" customHeight="1" x14ac:dyDescent="0.3"/>
    <row r="772" s="7" customFormat="1" ht="14.25" customHeight="1" x14ac:dyDescent="0.3"/>
    <row r="773" s="7" customFormat="1" ht="14.25" customHeight="1" x14ac:dyDescent="0.3"/>
    <row r="774" s="7" customFormat="1" ht="14.25" customHeight="1" x14ac:dyDescent="0.3"/>
    <row r="775" s="7" customFormat="1" ht="14.25" customHeight="1" x14ac:dyDescent="0.3"/>
    <row r="776" s="7" customFormat="1" ht="14.25" customHeight="1" x14ac:dyDescent="0.3"/>
    <row r="777" s="7" customFormat="1" ht="14.25" customHeight="1" x14ac:dyDescent="0.3"/>
    <row r="778" s="7" customFormat="1" ht="14.25" customHeight="1" x14ac:dyDescent="0.3"/>
    <row r="779" s="7" customFormat="1" ht="14.25" customHeight="1" x14ac:dyDescent="0.3"/>
    <row r="780" s="7" customFormat="1" ht="14.25" customHeight="1" x14ac:dyDescent="0.3"/>
    <row r="781" s="7" customFormat="1" ht="14.25" customHeight="1" x14ac:dyDescent="0.3"/>
    <row r="782" s="7" customFormat="1" ht="14.25" customHeight="1" x14ac:dyDescent="0.3"/>
    <row r="783" s="7" customFormat="1" ht="14.25" customHeight="1" x14ac:dyDescent="0.3"/>
    <row r="784" s="7" customFormat="1" ht="14.25" customHeight="1" x14ac:dyDescent="0.3"/>
    <row r="785" s="7" customFormat="1" ht="14.25" customHeight="1" x14ac:dyDescent="0.3"/>
    <row r="786" s="7" customFormat="1" ht="14.25" customHeight="1" x14ac:dyDescent="0.3"/>
    <row r="787" s="7" customFormat="1" ht="14.25" customHeight="1" x14ac:dyDescent="0.3"/>
    <row r="788" s="7" customFormat="1" ht="14.25" customHeight="1" x14ac:dyDescent="0.3"/>
    <row r="789" s="7" customFormat="1" ht="14.25" customHeight="1" x14ac:dyDescent="0.3"/>
    <row r="790" s="7" customFormat="1" ht="14.25" customHeight="1" x14ac:dyDescent="0.3"/>
    <row r="791" s="7" customFormat="1" ht="14.25" customHeight="1" x14ac:dyDescent="0.3"/>
    <row r="792" s="7" customFormat="1" ht="14.25" customHeight="1" x14ac:dyDescent="0.3"/>
    <row r="793" s="7" customFormat="1" ht="14.25" customHeight="1" x14ac:dyDescent="0.3"/>
    <row r="794" s="7" customFormat="1" ht="14.25" customHeight="1" x14ac:dyDescent="0.3"/>
    <row r="795" s="7" customFormat="1" ht="14.25" customHeight="1" x14ac:dyDescent="0.3"/>
    <row r="796" s="7" customFormat="1" ht="14.25" customHeight="1" x14ac:dyDescent="0.3"/>
    <row r="797" s="7" customFormat="1" ht="14.25" customHeight="1" x14ac:dyDescent="0.3"/>
    <row r="798" s="7" customFormat="1" ht="14.25" customHeight="1" x14ac:dyDescent="0.3"/>
    <row r="799" s="7" customFormat="1" ht="14.25" customHeight="1" x14ac:dyDescent="0.3"/>
    <row r="800" s="7" customFormat="1" ht="14.25" customHeight="1" x14ac:dyDescent="0.3"/>
    <row r="801" s="7" customFormat="1" ht="14.25" customHeight="1" x14ac:dyDescent="0.3"/>
    <row r="802" s="7" customFormat="1" ht="14.25" customHeight="1" x14ac:dyDescent="0.3"/>
    <row r="803" s="7" customFormat="1" ht="14.25" customHeight="1" x14ac:dyDescent="0.3"/>
    <row r="804" s="7" customFormat="1" ht="14.25" customHeight="1" x14ac:dyDescent="0.3"/>
    <row r="805" s="7" customFormat="1" ht="14.25" customHeight="1" x14ac:dyDescent="0.3"/>
    <row r="806" s="7" customFormat="1" ht="14.25" customHeight="1" x14ac:dyDescent="0.3"/>
    <row r="807" s="7" customFormat="1" ht="14.25" customHeight="1" x14ac:dyDescent="0.3"/>
    <row r="808" s="7" customFormat="1" ht="14.25" customHeight="1" x14ac:dyDescent="0.3"/>
    <row r="809" s="7" customFormat="1" ht="14.25" customHeight="1" x14ac:dyDescent="0.3"/>
    <row r="810" s="7" customFormat="1" ht="14.25" customHeight="1" x14ac:dyDescent="0.3"/>
    <row r="811" s="7" customFormat="1" ht="14.25" customHeight="1" x14ac:dyDescent="0.3"/>
    <row r="812" s="7" customFormat="1" ht="14.25" customHeight="1" x14ac:dyDescent="0.3"/>
    <row r="813" s="7" customFormat="1" ht="14.25" customHeight="1" x14ac:dyDescent="0.3"/>
    <row r="814" s="7" customFormat="1" ht="14.25" customHeight="1" x14ac:dyDescent="0.3"/>
    <row r="815" s="7" customFormat="1" ht="14.25" customHeight="1" x14ac:dyDescent="0.3"/>
    <row r="816" s="7" customFormat="1" ht="14.25" customHeight="1" x14ac:dyDescent="0.3"/>
    <row r="817" s="7" customFormat="1" ht="14.25" customHeight="1" x14ac:dyDescent="0.3"/>
    <row r="818" s="7" customFormat="1" ht="14.25" customHeight="1" x14ac:dyDescent="0.3"/>
    <row r="819" s="7" customFormat="1" ht="14.25" customHeight="1" x14ac:dyDescent="0.3"/>
    <row r="820" s="7" customFormat="1" ht="14.25" customHeight="1" x14ac:dyDescent="0.3"/>
    <row r="821" s="7" customFormat="1" ht="14.25" customHeight="1" x14ac:dyDescent="0.3"/>
    <row r="822" s="7" customFormat="1" ht="14.25" customHeight="1" x14ac:dyDescent="0.3"/>
    <row r="823" s="7" customFormat="1" ht="14.25" customHeight="1" x14ac:dyDescent="0.3"/>
    <row r="824" s="7" customFormat="1" ht="14.25" customHeight="1" x14ac:dyDescent="0.3"/>
    <row r="825" s="7" customFormat="1" ht="14.25" customHeight="1" x14ac:dyDescent="0.3"/>
    <row r="826" s="7" customFormat="1" ht="14.25" customHeight="1" x14ac:dyDescent="0.3"/>
    <row r="827" s="7" customFormat="1" ht="14.25" customHeight="1" x14ac:dyDescent="0.3"/>
    <row r="828" s="7" customFormat="1" ht="14.25" customHeight="1" x14ac:dyDescent="0.3"/>
    <row r="829" s="7" customFormat="1" ht="14.25" customHeight="1" x14ac:dyDescent="0.3"/>
    <row r="830" s="7" customFormat="1" ht="14.25" customHeight="1" x14ac:dyDescent="0.3"/>
    <row r="831" s="7" customFormat="1" ht="14.25" customHeight="1" x14ac:dyDescent="0.3"/>
    <row r="832" s="7" customFormat="1" ht="14.25" customHeight="1" x14ac:dyDescent="0.3"/>
    <row r="833" s="7" customFormat="1" ht="14.25" customHeight="1" x14ac:dyDescent="0.3"/>
    <row r="834" s="7" customFormat="1" ht="14.25" customHeight="1" x14ac:dyDescent="0.3"/>
    <row r="835" s="7" customFormat="1" ht="14.25" customHeight="1" x14ac:dyDescent="0.3"/>
    <row r="836" s="7" customFormat="1" ht="14.25" customHeight="1" x14ac:dyDescent="0.3"/>
    <row r="837" s="7" customFormat="1" ht="14.25" customHeight="1" x14ac:dyDescent="0.3"/>
    <row r="838" s="7" customFormat="1" ht="14.25" customHeight="1" x14ac:dyDescent="0.3"/>
    <row r="839" s="7" customFormat="1" ht="14.25" customHeight="1" x14ac:dyDescent="0.3"/>
    <row r="840" s="7" customFormat="1" ht="14.25" customHeight="1" x14ac:dyDescent="0.3"/>
    <row r="841" s="7" customFormat="1" ht="14.25" customHeight="1" x14ac:dyDescent="0.3"/>
    <row r="842" s="7" customFormat="1" ht="14.25" customHeight="1" x14ac:dyDescent="0.3"/>
    <row r="843" s="7" customFormat="1" ht="14.25" customHeight="1" x14ac:dyDescent="0.3"/>
    <row r="844" s="7" customFormat="1" ht="14.25" customHeight="1" x14ac:dyDescent="0.3"/>
    <row r="845" s="7" customFormat="1" ht="14.25" customHeight="1" x14ac:dyDescent="0.3"/>
    <row r="846" s="7" customFormat="1" ht="14.25" customHeight="1" x14ac:dyDescent="0.3"/>
    <row r="847" s="7" customFormat="1" ht="14.25" customHeight="1" x14ac:dyDescent="0.3"/>
    <row r="848" s="7" customFormat="1" ht="14.25" customHeight="1" x14ac:dyDescent="0.3"/>
    <row r="849" s="7" customFormat="1" ht="14.25" customHeight="1" x14ac:dyDescent="0.3"/>
    <row r="850" s="7" customFormat="1" ht="14.25" customHeight="1" x14ac:dyDescent="0.3"/>
    <row r="851" s="7" customFormat="1" ht="14.25" customHeight="1" x14ac:dyDescent="0.3"/>
    <row r="852" s="7" customFormat="1" ht="14.25" customHeight="1" x14ac:dyDescent="0.3"/>
    <row r="853" s="7" customFormat="1" ht="14.25" customHeight="1" x14ac:dyDescent="0.3"/>
    <row r="854" s="7" customFormat="1" ht="14.25" customHeight="1" x14ac:dyDescent="0.3"/>
    <row r="855" s="7" customFormat="1" ht="14.25" customHeight="1" x14ac:dyDescent="0.3"/>
    <row r="856" s="7" customFormat="1" ht="14.25" customHeight="1" x14ac:dyDescent="0.3"/>
    <row r="857" s="7" customFormat="1" ht="14.25" customHeight="1" x14ac:dyDescent="0.3"/>
    <row r="858" s="7" customFormat="1" ht="14.25" customHeight="1" x14ac:dyDescent="0.3"/>
    <row r="859" s="7" customFormat="1" ht="14.25" customHeight="1" x14ac:dyDescent="0.3"/>
    <row r="860" s="7" customFormat="1" ht="14.25" customHeight="1" x14ac:dyDescent="0.3"/>
    <row r="861" s="7" customFormat="1" ht="14.25" customHeight="1" x14ac:dyDescent="0.3"/>
    <row r="862" s="7" customFormat="1" ht="14.25" customHeight="1" x14ac:dyDescent="0.3"/>
    <row r="863" s="7" customFormat="1" ht="14.25" customHeight="1" x14ac:dyDescent="0.3"/>
    <row r="864" s="7" customFormat="1" ht="14.25" customHeight="1" x14ac:dyDescent="0.3"/>
    <row r="865" s="7" customFormat="1" ht="14.25" customHeight="1" x14ac:dyDescent="0.3"/>
    <row r="866" s="7" customFormat="1" ht="14.25" customHeight="1" x14ac:dyDescent="0.3"/>
    <row r="867" s="7" customFormat="1" ht="14.25" customHeight="1" x14ac:dyDescent="0.3"/>
    <row r="868" s="7" customFormat="1" ht="14.25" customHeight="1" x14ac:dyDescent="0.3"/>
    <row r="869" s="7" customFormat="1" ht="14.25" customHeight="1" x14ac:dyDescent="0.3"/>
    <row r="870" s="7" customFormat="1" ht="14.25" customHeight="1" x14ac:dyDescent="0.3"/>
    <row r="871" s="7" customFormat="1" ht="14.25" customHeight="1" x14ac:dyDescent="0.3"/>
    <row r="872" s="7" customFormat="1" ht="14.25" customHeight="1" x14ac:dyDescent="0.3"/>
    <row r="873" s="7" customFormat="1" ht="14.25" customHeight="1" x14ac:dyDescent="0.3"/>
    <row r="874" s="7" customFormat="1" ht="14.25" customHeight="1" x14ac:dyDescent="0.3"/>
    <row r="875" s="7" customFormat="1" ht="14.25" customHeight="1" x14ac:dyDescent="0.3"/>
    <row r="876" s="7" customFormat="1" ht="14.25" customHeight="1" x14ac:dyDescent="0.3"/>
    <row r="877" s="7" customFormat="1" ht="14.25" customHeight="1" x14ac:dyDescent="0.3"/>
    <row r="878" s="7" customFormat="1" ht="14.25" customHeight="1" x14ac:dyDescent="0.3"/>
    <row r="879" s="7" customFormat="1" ht="14.25" customHeight="1" x14ac:dyDescent="0.3"/>
    <row r="880" s="7" customFormat="1" ht="14.25" customHeight="1" x14ac:dyDescent="0.3"/>
    <row r="881" s="7" customFormat="1" ht="14.25" customHeight="1" x14ac:dyDescent="0.3"/>
    <row r="882" s="7" customFormat="1" ht="14.25" customHeight="1" x14ac:dyDescent="0.3"/>
    <row r="883" s="7" customFormat="1" ht="14.25" customHeight="1" x14ac:dyDescent="0.3"/>
    <row r="884" s="7" customFormat="1" ht="14.25" customHeight="1" x14ac:dyDescent="0.3"/>
    <row r="885" s="7" customFormat="1" ht="14.25" customHeight="1" x14ac:dyDescent="0.3"/>
    <row r="886" s="7" customFormat="1" ht="14.25" customHeight="1" x14ac:dyDescent="0.3"/>
    <row r="887" s="7" customFormat="1" ht="14.25" customHeight="1" x14ac:dyDescent="0.3"/>
    <row r="888" s="7" customFormat="1" ht="14.25" customHeight="1" x14ac:dyDescent="0.3"/>
    <row r="889" s="7" customFormat="1" ht="14.25" customHeight="1" x14ac:dyDescent="0.3"/>
    <row r="890" s="7" customFormat="1" ht="14.25" customHeight="1" x14ac:dyDescent="0.3"/>
    <row r="891" s="7" customFormat="1" ht="14.25" customHeight="1" x14ac:dyDescent="0.3"/>
    <row r="892" s="7" customFormat="1" ht="14.25" customHeight="1" x14ac:dyDescent="0.3"/>
    <row r="893" s="7" customFormat="1" ht="14.25" customHeight="1" x14ac:dyDescent="0.3"/>
    <row r="894" s="7" customFormat="1" ht="14.25" customHeight="1" x14ac:dyDescent="0.3"/>
    <row r="895" s="7" customFormat="1" ht="14.25" customHeight="1" x14ac:dyDescent="0.3"/>
    <row r="896" s="7" customFormat="1" ht="14.25" customHeight="1" x14ac:dyDescent="0.3"/>
    <row r="897" s="7" customFormat="1" ht="14.25" customHeight="1" x14ac:dyDescent="0.3"/>
    <row r="898" s="7" customFormat="1" ht="14.25" customHeight="1" x14ac:dyDescent="0.3"/>
    <row r="899" s="7" customFormat="1" ht="14.25" customHeight="1" x14ac:dyDescent="0.3"/>
    <row r="900" s="7" customFormat="1" ht="14.25" customHeight="1" x14ac:dyDescent="0.3"/>
    <row r="901" s="7" customFormat="1" ht="14.25" customHeight="1" x14ac:dyDescent="0.3"/>
    <row r="902" s="7" customFormat="1" ht="14.25" customHeight="1" x14ac:dyDescent="0.3"/>
    <row r="903" s="7" customFormat="1" ht="14.25" customHeight="1" x14ac:dyDescent="0.3"/>
    <row r="904" s="7" customFormat="1" ht="14.25" customHeight="1" x14ac:dyDescent="0.3"/>
    <row r="905" s="7" customFormat="1" ht="14.25" customHeight="1" x14ac:dyDescent="0.3"/>
    <row r="906" s="7" customFormat="1" ht="14.25" customHeight="1" x14ac:dyDescent="0.3"/>
    <row r="907" s="7" customFormat="1" ht="14.25" customHeight="1" x14ac:dyDescent="0.3"/>
    <row r="908" s="7" customFormat="1" ht="14.25" customHeight="1" x14ac:dyDescent="0.3"/>
    <row r="909" s="7" customFormat="1" ht="14.25" customHeight="1" x14ac:dyDescent="0.3"/>
    <row r="910" s="7" customFormat="1" ht="14.25" customHeight="1" x14ac:dyDescent="0.3"/>
    <row r="911" s="7" customFormat="1" ht="14.25" customHeight="1" x14ac:dyDescent="0.3"/>
    <row r="912" s="7" customFormat="1" ht="14.25" customHeight="1" x14ac:dyDescent="0.3"/>
    <row r="913" s="7" customFormat="1" ht="14.25" customHeight="1" x14ac:dyDescent="0.3"/>
    <row r="914" s="7" customFormat="1" ht="14.25" customHeight="1" x14ac:dyDescent="0.3"/>
    <row r="915" s="7" customFormat="1" ht="14.25" customHeight="1" x14ac:dyDescent="0.3"/>
    <row r="916" s="7" customFormat="1" ht="14.25" customHeight="1" x14ac:dyDescent="0.3"/>
    <row r="917" s="7" customFormat="1" ht="14.25" customHeight="1" x14ac:dyDescent="0.3"/>
    <row r="918" s="7" customFormat="1" ht="14.25" customHeight="1" x14ac:dyDescent="0.3"/>
    <row r="919" s="7" customFormat="1" ht="14.25" customHeight="1" x14ac:dyDescent="0.3"/>
    <row r="920" s="7" customFormat="1" ht="14.25" customHeight="1" x14ac:dyDescent="0.3"/>
    <row r="921" s="7" customFormat="1" ht="14.25" customHeight="1" x14ac:dyDescent="0.3"/>
    <row r="922" s="7" customFormat="1" ht="14.25" customHeight="1" x14ac:dyDescent="0.3"/>
    <row r="923" s="7" customFormat="1" ht="14.25" customHeight="1" x14ac:dyDescent="0.3"/>
    <row r="924" s="7" customFormat="1" ht="14.25" customHeight="1" x14ac:dyDescent="0.3"/>
    <row r="925" s="7" customFormat="1" ht="14.25" customHeight="1" x14ac:dyDescent="0.3"/>
    <row r="926" s="7" customFormat="1" ht="14.25" customHeight="1" x14ac:dyDescent="0.3"/>
    <row r="927" s="7" customFormat="1" ht="14.25" customHeight="1" x14ac:dyDescent="0.3"/>
    <row r="928" s="7" customFormat="1" ht="14.25" customHeight="1" x14ac:dyDescent="0.3"/>
    <row r="929" s="7" customFormat="1" ht="14.25" customHeight="1" x14ac:dyDescent="0.3"/>
    <row r="930" s="7" customFormat="1" ht="14.25" customHeight="1" x14ac:dyDescent="0.3"/>
    <row r="931" s="7" customFormat="1" ht="14.25" customHeight="1" x14ac:dyDescent="0.3"/>
    <row r="932" s="7" customFormat="1" ht="14.25" customHeight="1" x14ac:dyDescent="0.3"/>
    <row r="933" s="7" customFormat="1" ht="14.25" customHeight="1" x14ac:dyDescent="0.3"/>
    <row r="934" s="7" customFormat="1" ht="14.25" customHeight="1" x14ac:dyDescent="0.3"/>
    <row r="935" s="7" customFormat="1" ht="14.25" customHeight="1" x14ac:dyDescent="0.3"/>
    <row r="936" s="7" customFormat="1" ht="14.25" customHeight="1" x14ac:dyDescent="0.3"/>
    <row r="937" s="7" customFormat="1" ht="14.25" customHeight="1" x14ac:dyDescent="0.3"/>
    <row r="938" s="7" customFormat="1" ht="14.25" customHeight="1" x14ac:dyDescent="0.3"/>
    <row r="939" s="7" customFormat="1" ht="14.25" customHeight="1" x14ac:dyDescent="0.3"/>
    <row r="940" s="7" customFormat="1" ht="14.25" customHeight="1" x14ac:dyDescent="0.3"/>
    <row r="941" s="7" customFormat="1" ht="14.25" customHeight="1" x14ac:dyDescent="0.3"/>
    <row r="942" s="7" customFormat="1" ht="14.25" customHeight="1" x14ac:dyDescent="0.3"/>
    <row r="943" s="7" customFormat="1" ht="14.25" customHeight="1" x14ac:dyDescent="0.3"/>
    <row r="944" s="7" customFormat="1" ht="14.25" customHeight="1" x14ac:dyDescent="0.3"/>
    <row r="945" s="7" customFormat="1" ht="14.25" customHeight="1" x14ac:dyDescent="0.3"/>
    <row r="946" s="7" customFormat="1" ht="14.25" customHeight="1" x14ac:dyDescent="0.3"/>
    <row r="947" s="7" customFormat="1" ht="14.25" customHeight="1" x14ac:dyDescent="0.3"/>
    <row r="948" s="7" customFormat="1" ht="14.25" customHeight="1" x14ac:dyDescent="0.3"/>
    <row r="949" s="7" customFormat="1" ht="14.25" customHeight="1" x14ac:dyDescent="0.3"/>
    <row r="950" s="7" customFormat="1" ht="14.25" customHeight="1" x14ac:dyDescent="0.3"/>
    <row r="951" s="7" customFormat="1" ht="14.25" customHeight="1" x14ac:dyDescent="0.3"/>
    <row r="952" s="7" customFormat="1" ht="14.25" customHeight="1" x14ac:dyDescent="0.3"/>
    <row r="953" s="7" customFormat="1" ht="14.25" customHeight="1" x14ac:dyDescent="0.3"/>
    <row r="954" s="7" customFormat="1" ht="14.25" customHeight="1" x14ac:dyDescent="0.3"/>
    <row r="955" s="7" customFormat="1" ht="14.25" customHeight="1" x14ac:dyDescent="0.3"/>
    <row r="956" s="7" customFormat="1" ht="14.25" customHeight="1" x14ac:dyDescent="0.3"/>
    <row r="957" s="7" customFormat="1" ht="14.25" customHeight="1" x14ac:dyDescent="0.3"/>
    <row r="958" s="7" customFormat="1" ht="14.25" customHeight="1" x14ac:dyDescent="0.3"/>
    <row r="959" s="7" customFormat="1" ht="14.25" customHeight="1" x14ac:dyDescent="0.3"/>
    <row r="960" s="7" customFormat="1" ht="14.25" customHeight="1" x14ac:dyDescent="0.3"/>
    <row r="961" s="7" customFormat="1" ht="14.25" customHeight="1" x14ac:dyDescent="0.3"/>
    <row r="962" s="7" customFormat="1" ht="14.25" customHeight="1" x14ac:dyDescent="0.3"/>
    <row r="963" s="7" customFormat="1" ht="14.25" customHeight="1" x14ac:dyDescent="0.3"/>
    <row r="964" s="7" customFormat="1" ht="14.25" customHeight="1" x14ac:dyDescent="0.3"/>
    <row r="965" s="7" customFormat="1" ht="14.25" customHeight="1" x14ac:dyDescent="0.3"/>
    <row r="966" s="7" customFormat="1" ht="14.25" customHeight="1" x14ac:dyDescent="0.3"/>
    <row r="967" s="7" customFormat="1" ht="14.25" customHeight="1" x14ac:dyDescent="0.3"/>
    <row r="968" s="7" customFormat="1" ht="14.25" customHeight="1" x14ac:dyDescent="0.3"/>
    <row r="969" s="7" customFormat="1" ht="14.25" customHeight="1" x14ac:dyDescent="0.3"/>
    <row r="970" s="7" customFormat="1" ht="14.25" customHeight="1" x14ac:dyDescent="0.3"/>
    <row r="971" s="7" customFormat="1" ht="14.25" customHeight="1" x14ac:dyDescent="0.3"/>
    <row r="972" s="7" customFormat="1" ht="14.25" customHeight="1" x14ac:dyDescent="0.3"/>
    <row r="973" s="7" customFormat="1" ht="14.25" customHeight="1" x14ac:dyDescent="0.3"/>
    <row r="974" s="7" customFormat="1" ht="14.25" customHeight="1" x14ac:dyDescent="0.3"/>
    <row r="975" s="7" customFormat="1" ht="14.25" customHeight="1" x14ac:dyDescent="0.3"/>
    <row r="976" s="7" customFormat="1" ht="14.25" customHeight="1" x14ac:dyDescent="0.3"/>
    <row r="977" s="7" customFormat="1" ht="14.25" customHeight="1" x14ac:dyDescent="0.3"/>
    <row r="978" s="7" customFormat="1" ht="14.25" customHeight="1" x14ac:dyDescent="0.3"/>
    <row r="979" s="7" customFormat="1" ht="14.25" customHeight="1" x14ac:dyDescent="0.3"/>
    <row r="980" s="7" customFormat="1" ht="14.25" customHeight="1" x14ac:dyDescent="0.3"/>
    <row r="981" s="7" customFormat="1" ht="14.25" customHeight="1" x14ac:dyDescent="0.3"/>
    <row r="982" s="7" customFormat="1" ht="14.25" customHeight="1" x14ac:dyDescent="0.3"/>
    <row r="983" s="7" customFormat="1" ht="14.25" customHeight="1" x14ac:dyDescent="0.3"/>
    <row r="984" s="7" customFormat="1" ht="14.25" customHeight="1" x14ac:dyDescent="0.3"/>
    <row r="985" s="7" customFormat="1" ht="14.25" customHeight="1" x14ac:dyDescent="0.3"/>
    <row r="986" s="7" customFormat="1" ht="14.25" customHeight="1" x14ac:dyDescent="0.3"/>
    <row r="987" s="7" customFormat="1" ht="14.25" customHeight="1" x14ac:dyDescent="0.3"/>
    <row r="988" s="7" customFormat="1" ht="14.25" customHeight="1" x14ac:dyDescent="0.3"/>
    <row r="989" s="7" customFormat="1" ht="14.25" customHeight="1" x14ac:dyDescent="0.3"/>
    <row r="990" s="7" customFormat="1" ht="14.25" customHeight="1" x14ac:dyDescent="0.3"/>
    <row r="991" s="7" customFormat="1" ht="14.25" customHeight="1" x14ac:dyDescent="0.3"/>
    <row r="992" s="7" customFormat="1" ht="14.25" customHeight="1" x14ac:dyDescent="0.3"/>
    <row r="993" s="7" customFormat="1" ht="14.25" customHeight="1" x14ac:dyDescent="0.3"/>
    <row r="994" s="7" customFormat="1" ht="14.25" customHeight="1" x14ac:dyDescent="0.3"/>
    <row r="995" s="7" customFormat="1" ht="14.25" customHeight="1" x14ac:dyDescent="0.3"/>
    <row r="996" s="7" customFormat="1" ht="14.25" customHeight="1" x14ac:dyDescent="0.3"/>
    <row r="997" s="7" customFormat="1" ht="14.25" customHeight="1" x14ac:dyDescent="0.3"/>
    <row r="998" s="7" customFormat="1" ht="14.25" customHeight="1" x14ac:dyDescent="0.3"/>
    <row r="999" s="7" customFormat="1" ht="14.25" customHeight="1" x14ac:dyDescent="0.3"/>
    <row r="1000" s="7" customFormat="1" ht="14.25" customHeight="1" x14ac:dyDescent="0.3"/>
    <row r="1001" s="7" customFormat="1" ht="14.25" customHeight="1" x14ac:dyDescent="0.3"/>
    <row r="1002" s="7" customFormat="1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>
      <selection activeCell="F18" sqref="A1:XFD1048576"/>
    </sheetView>
  </sheetViews>
  <sheetFormatPr defaultColWidth="14.44140625" defaultRowHeight="15" customHeight="1" x14ac:dyDescent="0.3"/>
  <cols>
    <col min="1" max="1" width="9" style="7" customWidth="1"/>
    <col min="2" max="7" width="15.5546875" style="7" customWidth="1"/>
    <col min="8" max="8" width="12.44140625" style="7" customWidth="1"/>
    <col min="9" max="26" width="9" style="7" customWidth="1"/>
    <col min="27" max="16384" width="14.44140625" style="7"/>
  </cols>
  <sheetData>
    <row r="1" spans="1:8" ht="14.25" customHeight="1" x14ac:dyDescent="0.3">
      <c r="A1" s="22"/>
      <c r="B1" s="22">
        <v>2021</v>
      </c>
      <c r="C1" s="22">
        <v>2022</v>
      </c>
      <c r="D1" s="22">
        <v>2023</v>
      </c>
      <c r="E1" s="22">
        <v>2024</v>
      </c>
      <c r="F1" s="22">
        <v>2025</v>
      </c>
      <c r="G1" s="70" t="s">
        <v>3</v>
      </c>
      <c r="H1" s="22" t="s">
        <v>127</v>
      </c>
    </row>
    <row r="2" spans="1:8" ht="14.25" customHeight="1" x14ac:dyDescent="0.3">
      <c r="A2" s="22" t="s">
        <v>128</v>
      </c>
      <c r="B2" s="71">
        <f>'Historical Data'!B36/'Historical Data'!B3*365</f>
        <v>176.84188581980396</v>
      </c>
      <c r="C2" s="71">
        <f>'Historical Data'!C36/'Historical Data'!C3*365</f>
        <v>145.37446397433365</v>
      </c>
      <c r="D2" s="71">
        <f>'Historical Data'!D36/'Historical Data'!D3*365</f>
        <v>145.50900112627062</v>
      </c>
      <c r="E2" s="71">
        <f>'Historical Data'!E36/'Historical Data'!E3*365</f>
        <v>136.33643969828663</v>
      </c>
      <c r="F2" s="71">
        <f>'Historical Data'!F36/'Historical Data'!F3*365</f>
        <v>178.20256126296539</v>
      </c>
      <c r="G2" s="71">
        <f t="shared" ref="G2:G4" si="0">AVERAGE(B2:F2)</f>
        <v>156.45287037633207</v>
      </c>
      <c r="H2" s="22">
        <v>160</v>
      </c>
    </row>
    <row r="3" spans="1:8" ht="14.25" customHeight="1" x14ac:dyDescent="0.3">
      <c r="A3" s="22" t="s">
        <v>129</v>
      </c>
      <c r="B3" s="71">
        <f>'Historical Data'!B37/'Historical Data'!B7*365</f>
        <v>76.322440181792388</v>
      </c>
      <c r="C3" s="71">
        <f>'Historical Data'!C37/'Historical Data'!C7*365</f>
        <v>68.31739284239903</v>
      </c>
      <c r="D3" s="71">
        <f>'Historical Data'!D37/'Historical Data'!D7*365</f>
        <v>81.122125480856965</v>
      </c>
      <c r="E3" s="71">
        <f>'Historical Data'!E37/'Historical Data'!E7*365</f>
        <v>58.909960614929609</v>
      </c>
      <c r="F3" s="71">
        <f>'Historical Data'!F37/'Historical Data'!F7*365</f>
        <v>63.592607931728551</v>
      </c>
      <c r="G3" s="71">
        <f t="shared" si="0"/>
        <v>69.652905410341305</v>
      </c>
      <c r="H3" s="22">
        <v>80</v>
      </c>
    </row>
    <row r="4" spans="1:8" ht="14.25" customHeight="1" x14ac:dyDescent="0.3">
      <c r="A4" s="22" t="s">
        <v>130</v>
      </c>
      <c r="B4" s="71">
        <f>'Historical Data'!B54/'Historical Data'!B7*365</f>
        <v>78.535420403914358</v>
      </c>
      <c r="C4" s="71">
        <f>'Historical Data'!C54/'Historical Data'!C7*365</f>
        <v>42.695720443936708</v>
      </c>
      <c r="D4" s="71">
        <f>'Historical Data'!D54/'Historical Data'!D7*365</f>
        <v>46.197321405619732</v>
      </c>
      <c r="E4" s="71">
        <f>'Historical Data'!E54/'Historical Data'!E7*365</f>
        <v>56.811788856130761</v>
      </c>
      <c r="F4" s="71">
        <f>'Historical Data'!F54/'Historical Data'!F7*365</f>
        <v>107.30624297684466</v>
      </c>
      <c r="G4" s="71">
        <f t="shared" si="0"/>
        <v>66.309298817289246</v>
      </c>
      <c r="H4" s="22">
        <v>100</v>
      </c>
    </row>
    <row r="5" spans="1:8" ht="14.25" customHeight="1" x14ac:dyDescent="0.3">
      <c r="A5" s="22" t="s">
        <v>131</v>
      </c>
      <c r="B5" s="71">
        <f t="shared" ref="B5:H5" si="1">B2+B3-B4</f>
        <v>174.62890559768198</v>
      </c>
      <c r="C5" s="71">
        <f t="shared" si="1"/>
        <v>170.996136372796</v>
      </c>
      <c r="D5" s="71">
        <f t="shared" si="1"/>
        <v>180.43380520150785</v>
      </c>
      <c r="E5" s="71">
        <f t="shared" si="1"/>
        <v>138.43461145708548</v>
      </c>
      <c r="F5" s="71">
        <f t="shared" si="1"/>
        <v>134.48892621784927</v>
      </c>
      <c r="G5" s="71">
        <f t="shared" si="1"/>
        <v>159.79647696938412</v>
      </c>
      <c r="H5" s="22">
        <f t="shared" si="1"/>
        <v>140</v>
      </c>
    </row>
    <row r="6" spans="1:8" ht="14.25" customHeight="1" x14ac:dyDescent="0.3"/>
    <row r="7" spans="1:8" ht="14.25" customHeight="1" x14ac:dyDescent="0.3"/>
    <row r="8" spans="1:8" ht="14.25" customHeight="1" x14ac:dyDescent="0.3"/>
    <row r="9" spans="1:8" ht="14.25" customHeight="1" x14ac:dyDescent="0.3"/>
    <row r="10" spans="1:8" ht="14.25" customHeight="1" x14ac:dyDescent="0.3"/>
    <row r="11" spans="1:8" ht="14.25" customHeight="1" x14ac:dyDescent="0.3"/>
    <row r="12" spans="1:8" ht="14.25" customHeight="1" x14ac:dyDescent="0.3"/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s="7" customFormat="1" ht="14.25" customHeight="1" x14ac:dyDescent="0.3"/>
    <row r="18" s="7" customFormat="1" ht="14.25" customHeight="1" x14ac:dyDescent="0.3"/>
    <row r="19" s="7" customFormat="1" ht="14.25" customHeight="1" x14ac:dyDescent="0.3"/>
    <row r="20" s="7" customFormat="1" ht="14.25" customHeight="1" x14ac:dyDescent="0.3"/>
    <row r="21" s="7" customFormat="1" ht="14.25" customHeight="1" x14ac:dyDescent="0.3"/>
    <row r="22" s="7" customFormat="1" ht="14.25" customHeight="1" x14ac:dyDescent="0.3"/>
    <row r="23" s="7" customFormat="1" ht="14.25" customHeight="1" x14ac:dyDescent="0.3"/>
    <row r="24" s="7" customFormat="1" ht="14.25" customHeight="1" x14ac:dyDescent="0.3"/>
    <row r="25" s="7" customFormat="1" ht="14.25" customHeight="1" x14ac:dyDescent="0.3"/>
    <row r="26" s="7" customFormat="1" ht="14.25" customHeight="1" x14ac:dyDescent="0.3"/>
    <row r="27" s="7" customFormat="1" ht="14.25" customHeight="1" x14ac:dyDescent="0.3"/>
    <row r="28" s="7" customFormat="1" ht="14.25" customHeight="1" x14ac:dyDescent="0.3"/>
    <row r="29" s="7" customFormat="1" ht="14.25" customHeight="1" x14ac:dyDescent="0.3"/>
    <row r="30" s="7" customFormat="1" ht="14.25" customHeight="1" x14ac:dyDescent="0.3"/>
    <row r="31" s="7" customFormat="1" ht="14.25" customHeight="1" x14ac:dyDescent="0.3"/>
    <row r="32" s="7" customFormat="1" ht="14.25" customHeight="1" x14ac:dyDescent="0.3"/>
    <row r="33" s="7" customFormat="1" ht="14.25" customHeight="1" x14ac:dyDescent="0.3"/>
    <row r="34" s="7" customFormat="1" ht="14.25" customHeight="1" x14ac:dyDescent="0.3"/>
    <row r="35" s="7" customFormat="1" ht="14.25" customHeight="1" x14ac:dyDescent="0.3"/>
    <row r="36" s="7" customFormat="1" ht="14.25" customHeight="1" x14ac:dyDescent="0.3"/>
    <row r="37" s="7" customFormat="1" ht="14.25" customHeight="1" x14ac:dyDescent="0.3"/>
    <row r="38" s="7" customFormat="1" ht="14.25" customHeight="1" x14ac:dyDescent="0.3"/>
    <row r="39" s="7" customFormat="1" ht="14.25" customHeight="1" x14ac:dyDescent="0.3"/>
    <row r="40" s="7" customFormat="1" ht="14.25" customHeight="1" x14ac:dyDescent="0.3"/>
    <row r="41" s="7" customFormat="1" ht="14.25" customHeight="1" x14ac:dyDescent="0.3"/>
    <row r="42" s="7" customFormat="1" ht="14.25" customHeight="1" x14ac:dyDescent="0.3"/>
    <row r="43" s="7" customFormat="1" ht="14.25" customHeight="1" x14ac:dyDescent="0.3"/>
    <row r="44" s="7" customFormat="1" ht="14.25" customHeight="1" x14ac:dyDescent="0.3"/>
    <row r="45" s="7" customFormat="1" ht="14.25" customHeight="1" x14ac:dyDescent="0.3"/>
    <row r="46" s="7" customFormat="1" ht="14.25" customHeight="1" x14ac:dyDescent="0.3"/>
    <row r="47" s="7" customFormat="1" ht="14.25" customHeight="1" x14ac:dyDescent="0.3"/>
    <row r="48" s="7" customFormat="1" ht="14.25" customHeight="1" x14ac:dyDescent="0.3"/>
    <row r="49" s="7" customFormat="1" ht="14.25" customHeight="1" x14ac:dyDescent="0.3"/>
    <row r="50" s="7" customFormat="1" ht="14.25" customHeight="1" x14ac:dyDescent="0.3"/>
    <row r="51" s="7" customFormat="1" ht="14.25" customHeight="1" x14ac:dyDescent="0.3"/>
    <row r="52" s="7" customFormat="1" ht="14.25" customHeight="1" x14ac:dyDescent="0.3"/>
    <row r="53" s="7" customFormat="1" ht="14.25" customHeight="1" x14ac:dyDescent="0.3"/>
    <row r="54" s="7" customFormat="1" ht="14.25" customHeight="1" x14ac:dyDescent="0.3"/>
    <row r="55" s="7" customFormat="1" ht="14.25" customHeight="1" x14ac:dyDescent="0.3"/>
    <row r="56" s="7" customFormat="1" ht="14.25" customHeight="1" x14ac:dyDescent="0.3"/>
    <row r="57" s="7" customFormat="1" ht="14.25" customHeight="1" x14ac:dyDescent="0.3"/>
    <row r="58" s="7" customFormat="1" ht="14.25" customHeight="1" x14ac:dyDescent="0.3"/>
    <row r="59" s="7" customFormat="1" ht="14.25" customHeight="1" x14ac:dyDescent="0.3"/>
    <row r="60" s="7" customFormat="1" ht="14.25" customHeight="1" x14ac:dyDescent="0.3"/>
    <row r="61" s="7" customFormat="1" ht="14.25" customHeight="1" x14ac:dyDescent="0.3"/>
    <row r="62" s="7" customFormat="1" ht="14.25" customHeight="1" x14ac:dyDescent="0.3"/>
    <row r="63" s="7" customFormat="1" ht="14.25" customHeight="1" x14ac:dyDescent="0.3"/>
    <row r="64" s="7" customFormat="1" ht="14.25" customHeight="1" x14ac:dyDescent="0.3"/>
    <row r="65" s="7" customFormat="1" ht="14.25" customHeight="1" x14ac:dyDescent="0.3"/>
    <row r="66" s="7" customFormat="1" ht="14.25" customHeight="1" x14ac:dyDescent="0.3"/>
    <row r="67" s="7" customFormat="1" ht="14.25" customHeight="1" x14ac:dyDescent="0.3"/>
    <row r="68" s="7" customFormat="1" ht="14.25" customHeight="1" x14ac:dyDescent="0.3"/>
    <row r="69" s="7" customFormat="1" ht="14.25" customHeight="1" x14ac:dyDescent="0.3"/>
    <row r="70" s="7" customFormat="1" ht="14.25" customHeight="1" x14ac:dyDescent="0.3"/>
    <row r="71" s="7" customFormat="1" ht="14.25" customHeight="1" x14ac:dyDescent="0.3"/>
    <row r="72" s="7" customFormat="1" ht="14.25" customHeight="1" x14ac:dyDescent="0.3"/>
    <row r="73" s="7" customFormat="1" ht="14.25" customHeight="1" x14ac:dyDescent="0.3"/>
    <row r="74" s="7" customFormat="1" ht="14.25" customHeight="1" x14ac:dyDescent="0.3"/>
    <row r="75" s="7" customFormat="1" ht="14.25" customHeight="1" x14ac:dyDescent="0.3"/>
    <row r="76" s="7" customFormat="1" ht="14.25" customHeight="1" x14ac:dyDescent="0.3"/>
    <row r="77" s="7" customFormat="1" ht="14.25" customHeight="1" x14ac:dyDescent="0.3"/>
    <row r="78" s="7" customFormat="1" ht="14.25" customHeight="1" x14ac:dyDescent="0.3"/>
    <row r="79" s="7" customFormat="1" ht="14.25" customHeight="1" x14ac:dyDescent="0.3"/>
    <row r="80" s="7" customFormat="1" ht="14.25" customHeight="1" x14ac:dyDescent="0.3"/>
    <row r="81" s="7" customFormat="1" ht="14.25" customHeight="1" x14ac:dyDescent="0.3"/>
    <row r="82" s="7" customFormat="1" ht="14.25" customHeight="1" x14ac:dyDescent="0.3"/>
    <row r="83" s="7" customFormat="1" ht="14.25" customHeight="1" x14ac:dyDescent="0.3"/>
    <row r="84" s="7" customFormat="1" ht="14.25" customHeight="1" x14ac:dyDescent="0.3"/>
    <row r="85" s="7" customFormat="1" ht="14.25" customHeight="1" x14ac:dyDescent="0.3"/>
    <row r="86" s="7" customFormat="1" ht="14.25" customHeight="1" x14ac:dyDescent="0.3"/>
    <row r="87" s="7" customFormat="1" ht="14.25" customHeight="1" x14ac:dyDescent="0.3"/>
    <row r="88" s="7" customFormat="1" ht="14.25" customHeight="1" x14ac:dyDescent="0.3"/>
    <row r="89" s="7" customFormat="1" ht="14.25" customHeight="1" x14ac:dyDescent="0.3"/>
    <row r="90" s="7" customFormat="1" ht="14.25" customHeight="1" x14ac:dyDescent="0.3"/>
    <row r="91" s="7" customFormat="1" ht="14.25" customHeight="1" x14ac:dyDescent="0.3"/>
    <row r="92" s="7" customFormat="1" ht="14.25" customHeight="1" x14ac:dyDescent="0.3"/>
    <row r="93" s="7" customFormat="1" ht="14.25" customHeight="1" x14ac:dyDescent="0.3"/>
    <row r="94" s="7" customFormat="1" ht="14.25" customHeight="1" x14ac:dyDescent="0.3"/>
    <row r="95" s="7" customFormat="1" ht="14.25" customHeight="1" x14ac:dyDescent="0.3"/>
    <row r="96" s="7" customFormat="1" ht="14.25" customHeight="1" x14ac:dyDescent="0.3"/>
    <row r="97" s="7" customFormat="1" ht="14.25" customHeight="1" x14ac:dyDescent="0.3"/>
    <row r="98" s="7" customFormat="1" ht="14.25" customHeight="1" x14ac:dyDescent="0.3"/>
    <row r="99" s="7" customFormat="1" ht="14.25" customHeight="1" x14ac:dyDescent="0.3"/>
    <row r="100" s="7" customFormat="1" ht="14.25" customHeight="1" x14ac:dyDescent="0.3"/>
    <row r="101" s="7" customFormat="1" ht="14.25" customHeight="1" x14ac:dyDescent="0.3"/>
    <row r="102" s="7" customFormat="1" ht="14.25" customHeight="1" x14ac:dyDescent="0.3"/>
    <row r="103" s="7" customFormat="1" ht="14.25" customHeight="1" x14ac:dyDescent="0.3"/>
    <row r="104" s="7" customFormat="1" ht="14.25" customHeight="1" x14ac:dyDescent="0.3"/>
    <row r="105" s="7" customFormat="1" ht="14.25" customHeight="1" x14ac:dyDescent="0.3"/>
    <row r="106" s="7" customFormat="1" ht="14.25" customHeight="1" x14ac:dyDescent="0.3"/>
    <row r="107" s="7" customFormat="1" ht="14.25" customHeight="1" x14ac:dyDescent="0.3"/>
    <row r="108" s="7" customFormat="1" ht="14.25" customHeight="1" x14ac:dyDescent="0.3"/>
    <row r="109" s="7" customFormat="1" ht="14.25" customHeight="1" x14ac:dyDescent="0.3"/>
    <row r="110" s="7" customFormat="1" ht="14.25" customHeight="1" x14ac:dyDescent="0.3"/>
    <row r="111" s="7" customFormat="1" ht="14.25" customHeight="1" x14ac:dyDescent="0.3"/>
    <row r="112" s="7" customFormat="1" ht="14.25" customHeight="1" x14ac:dyDescent="0.3"/>
    <row r="113" s="7" customFormat="1" ht="14.25" customHeight="1" x14ac:dyDescent="0.3"/>
    <row r="114" s="7" customFormat="1" ht="14.25" customHeight="1" x14ac:dyDescent="0.3"/>
    <row r="115" s="7" customFormat="1" ht="14.25" customHeight="1" x14ac:dyDescent="0.3"/>
    <row r="116" s="7" customFormat="1" ht="14.25" customHeight="1" x14ac:dyDescent="0.3"/>
    <row r="117" s="7" customFormat="1" ht="14.25" customHeight="1" x14ac:dyDescent="0.3"/>
    <row r="118" s="7" customFormat="1" ht="14.25" customHeight="1" x14ac:dyDescent="0.3"/>
    <row r="119" s="7" customFormat="1" ht="14.25" customHeight="1" x14ac:dyDescent="0.3"/>
    <row r="120" s="7" customFormat="1" ht="14.25" customHeight="1" x14ac:dyDescent="0.3"/>
    <row r="121" s="7" customFormat="1" ht="14.25" customHeight="1" x14ac:dyDescent="0.3"/>
    <row r="122" s="7" customFormat="1" ht="14.25" customHeight="1" x14ac:dyDescent="0.3"/>
    <row r="123" s="7" customFormat="1" ht="14.25" customHeight="1" x14ac:dyDescent="0.3"/>
    <row r="124" s="7" customFormat="1" ht="14.25" customHeight="1" x14ac:dyDescent="0.3"/>
    <row r="125" s="7" customFormat="1" ht="14.25" customHeight="1" x14ac:dyDescent="0.3"/>
    <row r="126" s="7" customFormat="1" ht="14.25" customHeight="1" x14ac:dyDescent="0.3"/>
    <row r="127" s="7" customFormat="1" ht="14.25" customHeight="1" x14ac:dyDescent="0.3"/>
    <row r="128" s="7" customFormat="1" ht="14.25" customHeight="1" x14ac:dyDescent="0.3"/>
    <row r="129" s="7" customFormat="1" ht="14.25" customHeight="1" x14ac:dyDescent="0.3"/>
    <row r="130" s="7" customFormat="1" ht="14.25" customHeight="1" x14ac:dyDescent="0.3"/>
    <row r="131" s="7" customFormat="1" ht="14.25" customHeight="1" x14ac:dyDescent="0.3"/>
    <row r="132" s="7" customFormat="1" ht="14.25" customHeight="1" x14ac:dyDescent="0.3"/>
    <row r="133" s="7" customFormat="1" ht="14.25" customHeight="1" x14ac:dyDescent="0.3"/>
    <row r="134" s="7" customFormat="1" ht="14.25" customHeight="1" x14ac:dyDescent="0.3"/>
    <row r="135" s="7" customFormat="1" ht="14.25" customHeight="1" x14ac:dyDescent="0.3"/>
    <row r="136" s="7" customFormat="1" ht="14.25" customHeight="1" x14ac:dyDescent="0.3"/>
    <row r="137" s="7" customFormat="1" ht="14.25" customHeight="1" x14ac:dyDescent="0.3"/>
    <row r="138" s="7" customFormat="1" ht="14.25" customHeight="1" x14ac:dyDescent="0.3"/>
    <row r="139" s="7" customFormat="1" ht="14.25" customHeight="1" x14ac:dyDescent="0.3"/>
    <row r="140" s="7" customFormat="1" ht="14.25" customHeight="1" x14ac:dyDescent="0.3"/>
    <row r="141" s="7" customFormat="1" ht="14.25" customHeight="1" x14ac:dyDescent="0.3"/>
    <row r="142" s="7" customFormat="1" ht="14.25" customHeight="1" x14ac:dyDescent="0.3"/>
    <row r="143" s="7" customFormat="1" ht="14.25" customHeight="1" x14ac:dyDescent="0.3"/>
    <row r="144" s="7" customFormat="1" ht="14.25" customHeight="1" x14ac:dyDescent="0.3"/>
    <row r="145" s="7" customFormat="1" ht="14.25" customHeight="1" x14ac:dyDescent="0.3"/>
    <row r="146" s="7" customFormat="1" ht="14.25" customHeight="1" x14ac:dyDescent="0.3"/>
    <row r="147" s="7" customFormat="1" ht="14.25" customHeight="1" x14ac:dyDescent="0.3"/>
    <row r="148" s="7" customFormat="1" ht="14.25" customHeight="1" x14ac:dyDescent="0.3"/>
    <row r="149" s="7" customFormat="1" ht="14.25" customHeight="1" x14ac:dyDescent="0.3"/>
    <row r="150" s="7" customFormat="1" ht="14.25" customHeight="1" x14ac:dyDescent="0.3"/>
    <row r="151" s="7" customFormat="1" ht="14.25" customHeight="1" x14ac:dyDescent="0.3"/>
    <row r="152" s="7" customFormat="1" ht="14.25" customHeight="1" x14ac:dyDescent="0.3"/>
    <row r="153" s="7" customFormat="1" ht="14.25" customHeight="1" x14ac:dyDescent="0.3"/>
    <row r="154" s="7" customFormat="1" ht="14.25" customHeight="1" x14ac:dyDescent="0.3"/>
    <row r="155" s="7" customFormat="1" ht="14.25" customHeight="1" x14ac:dyDescent="0.3"/>
    <row r="156" s="7" customFormat="1" ht="14.25" customHeight="1" x14ac:dyDescent="0.3"/>
    <row r="157" s="7" customFormat="1" ht="14.25" customHeight="1" x14ac:dyDescent="0.3"/>
    <row r="158" s="7" customFormat="1" ht="14.25" customHeight="1" x14ac:dyDescent="0.3"/>
    <row r="159" s="7" customFormat="1" ht="14.25" customHeight="1" x14ac:dyDescent="0.3"/>
    <row r="160" s="7" customFormat="1" ht="14.25" customHeight="1" x14ac:dyDescent="0.3"/>
    <row r="161" s="7" customFormat="1" ht="14.25" customHeight="1" x14ac:dyDescent="0.3"/>
    <row r="162" s="7" customFormat="1" ht="14.25" customHeight="1" x14ac:dyDescent="0.3"/>
    <row r="163" s="7" customFormat="1" ht="14.25" customHeight="1" x14ac:dyDescent="0.3"/>
    <row r="164" s="7" customFormat="1" ht="14.25" customHeight="1" x14ac:dyDescent="0.3"/>
    <row r="165" s="7" customFormat="1" ht="14.25" customHeight="1" x14ac:dyDescent="0.3"/>
    <row r="166" s="7" customFormat="1" ht="14.25" customHeight="1" x14ac:dyDescent="0.3"/>
    <row r="167" s="7" customFormat="1" ht="14.25" customHeight="1" x14ac:dyDescent="0.3"/>
    <row r="168" s="7" customFormat="1" ht="14.25" customHeight="1" x14ac:dyDescent="0.3"/>
    <row r="169" s="7" customFormat="1" ht="14.25" customHeight="1" x14ac:dyDescent="0.3"/>
    <row r="170" s="7" customFormat="1" ht="14.25" customHeight="1" x14ac:dyDescent="0.3"/>
    <row r="171" s="7" customFormat="1" ht="14.25" customHeight="1" x14ac:dyDescent="0.3"/>
    <row r="172" s="7" customFormat="1" ht="14.25" customHeight="1" x14ac:dyDescent="0.3"/>
    <row r="173" s="7" customFormat="1" ht="14.25" customHeight="1" x14ac:dyDescent="0.3"/>
    <row r="174" s="7" customFormat="1" ht="14.25" customHeight="1" x14ac:dyDescent="0.3"/>
    <row r="175" s="7" customFormat="1" ht="14.25" customHeight="1" x14ac:dyDescent="0.3"/>
    <row r="176" s="7" customFormat="1" ht="14.25" customHeight="1" x14ac:dyDescent="0.3"/>
    <row r="177" s="7" customFormat="1" ht="14.25" customHeight="1" x14ac:dyDescent="0.3"/>
    <row r="178" s="7" customFormat="1" ht="14.25" customHeight="1" x14ac:dyDescent="0.3"/>
    <row r="179" s="7" customFormat="1" ht="14.25" customHeight="1" x14ac:dyDescent="0.3"/>
    <row r="180" s="7" customFormat="1" ht="14.25" customHeight="1" x14ac:dyDescent="0.3"/>
    <row r="181" s="7" customFormat="1" ht="14.25" customHeight="1" x14ac:dyDescent="0.3"/>
    <row r="182" s="7" customFormat="1" ht="14.25" customHeight="1" x14ac:dyDescent="0.3"/>
    <row r="183" s="7" customFormat="1" ht="14.25" customHeight="1" x14ac:dyDescent="0.3"/>
    <row r="184" s="7" customFormat="1" ht="14.25" customHeight="1" x14ac:dyDescent="0.3"/>
    <row r="185" s="7" customFormat="1" ht="14.25" customHeight="1" x14ac:dyDescent="0.3"/>
    <row r="186" s="7" customFormat="1" ht="14.25" customHeight="1" x14ac:dyDescent="0.3"/>
    <row r="187" s="7" customFormat="1" ht="14.25" customHeight="1" x14ac:dyDescent="0.3"/>
    <row r="188" s="7" customFormat="1" ht="14.25" customHeight="1" x14ac:dyDescent="0.3"/>
    <row r="189" s="7" customFormat="1" ht="14.25" customHeight="1" x14ac:dyDescent="0.3"/>
    <row r="190" s="7" customFormat="1" ht="14.25" customHeight="1" x14ac:dyDescent="0.3"/>
    <row r="191" s="7" customFormat="1" ht="14.25" customHeight="1" x14ac:dyDescent="0.3"/>
    <row r="192" s="7" customFormat="1" ht="14.25" customHeight="1" x14ac:dyDescent="0.3"/>
    <row r="193" s="7" customFormat="1" ht="14.25" customHeight="1" x14ac:dyDescent="0.3"/>
    <row r="194" s="7" customFormat="1" ht="14.25" customHeight="1" x14ac:dyDescent="0.3"/>
    <row r="195" s="7" customFormat="1" ht="14.25" customHeight="1" x14ac:dyDescent="0.3"/>
    <row r="196" s="7" customFormat="1" ht="14.25" customHeight="1" x14ac:dyDescent="0.3"/>
    <row r="197" s="7" customFormat="1" ht="14.25" customHeight="1" x14ac:dyDescent="0.3"/>
    <row r="198" s="7" customFormat="1" ht="14.25" customHeight="1" x14ac:dyDescent="0.3"/>
    <row r="199" s="7" customFormat="1" ht="14.25" customHeight="1" x14ac:dyDescent="0.3"/>
    <row r="200" s="7" customFormat="1" ht="14.25" customHeight="1" x14ac:dyDescent="0.3"/>
    <row r="201" s="7" customFormat="1" ht="14.25" customHeight="1" x14ac:dyDescent="0.3"/>
    <row r="202" s="7" customFormat="1" ht="14.25" customHeight="1" x14ac:dyDescent="0.3"/>
    <row r="203" s="7" customFormat="1" ht="14.25" customHeight="1" x14ac:dyDescent="0.3"/>
    <row r="204" s="7" customFormat="1" ht="14.25" customHeight="1" x14ac:dyDescent="0.3"/>
    <row r="205" s="7" customFormat="1" ht="14.25" customHeight="1" x14ac:dyDescent="0.3"/>
    <row r="206" s="7" customFormat="1" ht="14.25" customHeight="1" x14ac:dyDescent="0.3"/>
    <row r="207" s="7" customFormat="1" ht="14.25" customHeight="1" x14ac:dyDescent="0.3"/>
    <row r="208" s="7" customFormat="1" ht="14.25" customHeight="1" x14ac:dyDescent="0.3"/>
    <row r="209" s="7" customFormat="1" ht="14.25" customHeight="1" x14ac:dyDescent="0.3"/>
    <row r="210" s="7" customFormat="1" ht="14.25" customHeight="1" x14ac:dyDescent="0.3"/>
    <row r="211" s="7" customFormat="1" ht="14.25" customHeight="1" x14ac:dyDescent="0.3"/>
    <row r="212" s="7" customFormat="1" ht="14.25" customHeight="1" x14ac:dyDescent="0.3"/>
    <row r="213" s="7" customFormat="1" ht="14.25" customHeight="1" x14ac:dyDescent="0.3"/>
    <row r="214" s="7" customFormat="1" ht="14.25" customHeight="1" x14ac:dyDescent="0.3"/>
    <row r="215" s="7" customFormat="1" ht="14.25" customHeight="1" x14ac:dyDescent="0.3"/>
    <row r="216" s="7" customFormat="1" ht="14.25" customHeight="1" x14ac:dyDescent="0.3"/>
    <row r="217" s="7" customFormat="1" ht="14.25" customHeight="1" x14ac:dyDescent="0.3"/>
    <row r="218" s="7" customFormat="1" ht="14.25" customHeight="1" x14ac:dyDescent="0.3"/>
    <row r="219" s="7" customFormat="1" ht="14.25" customHeight="1" x14ac:dyDescent="0.3"/>
    <row r="220" s="7" customFormat="1" ht="14.25" customHeight="1" x14ac:dyDescent="0.3"/>
    <row r="221" s="7" customFormat="1" ht="14.25" customHeight="1" x14ac:dyDescent="0.3"/>
    <row r="222" s="7" customFormat="1" ht="14.25" customHeight="1" x14ac:dyDescent="0.3"/>
    <row r="223" s="7" customFormat="1" ht="14.25" customHeight="1" x14ac:dyDescent="0.3"/>
    <row r="224" s="7" customFormat="1" ht="14.25" customHeight="1" x14ac:dyDescent="0.3"/>
    <row r="225" s="7" customFormat="1" ht="14.25" customHeight="1" x14ac:dyDescent="0.3"/>
    <row r="226" s="7" customFormat="1" ht="14.25" customHeight="1" x14ac:dyDescent="0.3"/>
    <row r="227" s="7" customFormat="1" ht="14.25" customHeight="1" x14ac:dyDescent="0.3"/>
    <row r="228" s="7" customFormat="1" ht="14.25" customHeight="1" x14ac:dyDescent="0.3"/>
    <row r="229" s="7" customFormat="1" ht="14.25" customHeight="1" x14ac:dyDescent="0.3"/>
    <row r="230" s="7" customFormat="1" ht="14.25" customHeight="1" x14ac:dyDescent="0.3"/>
    <row r="231" s="7" customFormat="1" ht="14.25" customHeight="1" x14ac:dyDescent="0.3"/>
    <row r="232" s="7" customFormat="1" ht="14.25" customHeight="1" x14ac:dyDescent="0.3"/>
    <row r="233" s="7" customFormat="1" ht="14.25" customHeight="1" x14ac:dyDescent="0.3"/>
    <row r="234" s="7" customFormat="1" ht="14.25" customHeight="1" x14ac:dyDescent="0.3"/>
    <row r="235" s="7" customFormat="1" ht="14.25" customHeight="1" x14ac:dyDescent="0.3"/>
    <row r="236" s="7" customFormat="1" ht="14.25" customHeight="1" x14ac:dyDescent="0.3"/>
    <row r="237" s="7" customFormat="1" ht="14.25" customHeight="1" x14ac:dyDescent="0.3"/>
    <row r="238" s="7" customFormat="1" ht="14.25" customHeight="1" x14ac:dyDescent="0.3"/>
    <row r="239" s="7" customFormat="1" ht="14.25" customHeight="1" x14ac:dyDescent="0.3"/>
    <row r="240" s="7" customFormat="1" ht="14.25" customHeight="1" x14ac:dyDescent="0.3"/>
    <row r="241" s="7" customFormat="1" ht="14.25" customHeight="1" x14ac:dyDescent="0.3"/>
    <row r="242" s="7" customFormat="1" ht="14.25" customHeight="1" x14ac:dyDescent="0.3"/>
    <row r="243" s="7" customFormat="1" ht="14.25" customHeight="1" x14ac:dyDescent="0.3"/>
    <row r="244" s="7" customFormat="1" ht="14.25" customHeight="1" x14ac:dyDescent="0.3"/>
    <row r="245" s="7" customFormat="1" ht="14.25" customHeight="1" x14ac:dyDescent="0.3"/>
    <row r="246" s="7" customFormat="1" ht="14.25" customHeight="1" x14ac:dyDescent="0.3"/>
    <row r="247" s="7" customFormat="1" ht="14.25" customHeight="1" x14ac:dyDescent="0.3"/>
    <row r="248" s="7" customFormat="1" ht="14.25" customHeight="1" x14ac:dyDescent="0.3"/>
    <row r="249" s="7" customFormat="1" ht="14.25" customHeight="1" x14ac:dyDescent="0.3"/>
    <row r="250" s="7" customFormat="1" ht="14.25" customHeight="1" x14ac:dyDescent="0.3"/>
    <row r="251" s="7" customFormat="1" ht="14.25" customHeight="1" x14ac:dyDescent="0.3"/>
    <row r="252" s="7" customFormat="1" ht="14.25" customHeight="1" x14ac:dyDescent="0.3"/>
    <row r="253" s="7" customFormat="1" ht="14.25" customHeight="1" x14ac:dyDescent="0.3"/>
    <row r="254" s="7" customFormat="1" ht="14.25" customHeight="1" x14ac:dyDescent="0.3"/>
    <row r="255" s="7" customFormat="1" ht="14.25" customHeight="1" x14ac:dyDescent="0.3"/>
    <row r="256" s="7" customFormat="1" ht="14.25" customHeight="1" x14ac:dyDescent="0.3"/>
    <row r="257" s="7" customFormat="1" ht="14.25" customHeight="1" x14ac:dyDescent="0.3"/>
    <row r="258" s="7" customFormat="1" ht="14.25" customHeight="1" x14ac:dyDescent="0.3"/>
    <row r="259" s="7" customFormat="1" ht="14.25" customHeight="1" x14ac:dyDescent="0.3"/>
    <row r="260" s="7" customFormat="1" ht="14.25" customHeight="1" x14ac:dyDescent="0.3"/>
    <row r="261" s="7" customFormat="1" ht="14.25" customHeight="1" x14ac:dyDescent="0.3"/>
    <row r="262" s="7" customFormat="1" ht="14.25" customHeight="1" x14ac:dyDescent="0.3"/>
    <row r="263" s="7" customFormat="1" ht="14.25" customHeight="1" x14ac:dyDescent="0.3"/>
    <row r="264" s="7" customFormat="1" ht="14.25" customHeight="1" x14ac:dyDescent="0.3"/>
    <row r="265" s="7" customFormat="1" ht="14.25" customHeight="1" x14ac:dyDescent="0.3"/>
    <row r="266" s="7" customFormat="1" ht="14.25" customHeight="1" x14ac:dyDescent="0.3"/>
    <row r="267" s="7" customFormat="1" ht="14.25" customHeight="1" x14ac:dyDescent="0.3"/>
    <row r="268" s="7" customFormat="1" ht="14.25" customHeight="1" x14ac:dyDescent="0.3"/>
    <row r="269" s="7" customFormat="1" ht="14.25" customHeight="1" x14ac:dyDescent="0.3"/>
    <row r="270" s="7" customFormat="1" ht="14.25" customHeight="1" x14ac:dyDescent="0.3"/>
    <row r="271" s="7" customFormat="1" ht="14.25" customHeight="1" x14ac:dyDescent="0.3"/>
    <row r="272" s="7" customFormat="1" ht="14.25" customHeight="1" x14ac:dyDescent="0.3"/>
    <row r="273" s="7" customFormat="1" ht="14.25" customHeight="1" x14ac:dyDescent="0.3"/>
    <row r="274" s="7" customFormat="1" ht="14.25" customHeight="1" x14ac:dyDescent="0.3"/>
    <row r="275" s="7" customFormat="1" ht="14.25" customHeight="1" x14ac:dyDescent="0.3"/>
    <row r="276" s="7" customFormat="1" ht="14.25" customHeight="1" x14ac:dyDescent="0.3"/>
    <row r="277" s="7" customFormat="1" ht="14.25" customHeight="1" x14ac:dyDescent="0.3"/>
    <row r="278" s="7" customFormat="1" ht="14.25" customHeight="1" x14ac:dyDescent="0.3"/>
    <row r="279" s="7" customFormat="1" ht="14.25" customHeight="1" x14ac:dyDescent="0.3"/>
    <row r="280" s="7" customFormat="1" ht="14.25" customHeight="1" x14ac:dyDescent="0.3"/>
    <row r="281" s="7" customFormat="1" ht="14.25" customHeight="1" x14ac:dyDescent="0.3"/>
    <row r="282" s="7" customFormat="1" ht="14.25" customHeight="1" x14ac:dyDescent="0.3"/>
    <row r="283" s="7" customFormat="1" ht="14.25" customHeight="1" x14ac:dyDescent="0.3"/>
    <row r="284" s="7" customFormat="1" ht="14.25" customHeight="1" x14ac:dyDescent="0.3"/>
    <row r="285" s="7" customFormat="1" ht="14.25" customHeight="1" x14ac:dyDescent="0.3"/>
    <row r="286" s="7" customFormat="1" ht="14.25" customHeight="1" x14ac:dyDescent="0.3"/>
    <row r="287" s="7" customFormat="1" ht="14.25" customHeight="1" x14ac:dyDescent="0.3"/>
    <row r="288" s="7" customFormat="1" ht="14.25" customHeight="1" x14ac:dyDescent="0.3"/>
    <row r="289" s="7" customFormat="1" ht="14.25" customHeight="1" x14ac:dyDescent="0.3"/>
    <row r="290" s="7" customFormat="1" ht="14.25" customHeight="1" x14ac:dyDescent="0.3"/>
    <row r="291" s="7" customFormat="1" ht="14.25" customHeight="1" x14ac:dyDescent="0.3"/>
    <row r="292" s="7" customFormat="1" ht="14.25" customHeight="1" x14ac:dyDescent="0.3"/>
    <row r="293" s="7" customFormat="1" ht="14.25" customHeight="1" x14ac:dyDescent="0.3"/>
    <row r="294" s="7" customFormat="1" ht="14.25" customHeight="1" x14ac:dyDescent="0.3"/>
    <row r="295" s="7" customFormat="1" ht="14.25" customHeight="1" x14ac:dyDescent="0.3"/>
    <row r="296" s="7" customFormat="1" ht="14.25" customHeight="1" x14ac:dyDescent="0.3"/>
    <row r="297" s="7" customFormat="1" ht="14.25" customHeight="1" x14ac:dyDescent="0.3"/>
    <row r="298" s="7" customFormat="1" ht="14.25" customHeight="1" x14ac:dyDescent="0.3"/>
    <row r="299" s="7" customFormat="1" ht="14.25" customHeight="1" x14ac:dyDescent="0.3"/>
    <row r="300" s="7" customFormat="1" ht="14.25" customHeight="1" x14ac:dyDescent="0.3"/>
    <row r="301" s="7" customFormat="1" ht="14.25" customHeight="1" x14ac:dyDescent="0.3"/>
    <row r="302" s="7" customFormat="1" ht="14.25" customHeight="1" x14ac:dyDescent="0.3"/>
    <row r="303" s="7" customFormat="1" ht="14.25" customHeight="1" x14ac:dyDescent="0.3"/>
    <row r="304" s="7" customFormat="1" ht="14.25" customHeight="1" x14ac:dyDescent="0.3"/>
    <row r="305" s="7" customFormat="1" ht="14.25" customHeight="1" x14ac:dyDescent="0.3"/>
    <row r="306" s="7" customFormat="1" ht="14.25" customHeight="1" x14ac:dyDescent="0.3"/>
    <row r="307" s="7" customFormat="1" ht="14.25" customHeight="1" x14ac:dyDescent="0.3"/>
    <row r="308" s="7" customFormat="1" ht="14.25" customHeight="1" x14ac:dyDescent="0.3"/>
    <row r="309" s="7" customFormat="1" ht="14.25" customHeight="1" x14ac:dyDescent="0.3"/>
    <row r="310" s="7" customFormat="1" ht="14.25" customHeight="1" x14ac:dyDescent="0.3"/>
    <row r="311" s="7" customFormat="1" ht="14.25" customHeight="1" x14ac:dyDescent="0.3"/>
    <row r="312" s="7" customFormat="1" ht="14.25" customHeight="1" x14ac:dyDescent="0.3"/>
    <row r="313" s="7" customFormat="1" ht="14.25" customHeight="1" x14ac:dyDescent="0.3"/>
    <row r="314" s="7" customFormat="1" ht="14.25" customHeight="1" x14ac:dyDescent="0.3"/>
    <row r="315" s="7" customFormat="1" ht="14.25" customHeight="1" x14ac:dyDescent="0.3"/>
    <row r="316" s="7" customFormat="1" ht="14.25" customHeight="1" x14ac:dyDescent="0.3"/>
    <row r="317" s="7" customFormat="1" ht="14.25" customHeight="1" x14ac:dyDescent="0.3"/>
    <row r="318" s="7" customFormat="1" ht="14.25" customHeight="1" x14ac:dyDescent="0.3"/>
    <row r="319" s="7" customFormat="1" ht="14.25" customHeight="1" x14ac:dyDescent="0.3"/>
    <row r="320" s="7" customFormat="1" ht="14.25" customHeight="1" x14ac:dyDescent="0.3"/>
    <row r="321" s="7" customFormat="1" ht="14.25" customHeight="1" x14ac:dyDescent="0.3"/>
    <row r="322" s="7" customFormat="1" ht="14.25" customHeight="1" x14ac:dyDescent="0.3"/>
    <row r="323" s="7" customFormat="1" ht="14.25" customHeight="1" x14ac:dyDescent="0.3"/>
    <row r="324" s="7" customFormat="1" ht="14.25" customHeight="1" x14ac:dyDescent="0.3"/>
    <row r="325" s="7" customFormat="1" ht="14.25" customHeight="1" x14ac:dyDescent="0.3"/>
    <row r="326" s="7" customFormat="1" ht="14.25" customHeight="1" x14ac:dyDescent="0.3"/>
    <row r="327" s="7" customFormat="1" ht="14.25" customHeight="1" x14ac:dyDescent="0.3"/>
    <row r="328" s="7" customFormat="1" ht="14.25" customHeight="1" x14ac:dyDescent="0.3"/>
    <row r="329" s="7" customFormat="1" ht="14.25" customHeight="1" x14ac:dyDescent="0.3"/>
    <row r="330" s="7" customFormat="1" ht="14.25" customHeight="1" x14ac:dyDescent="0.3"/>
    <row r="331" s="7" customFormat="1" ht="14.25" customHeight="1" x14ac:dyDescent="0.3"/>
    <row r="332" s="7" customFormat="1" ht="14.25" customHeight="1" x14ac:dyDescent="0.3"/>
    <row r="333" s="7" customFormat="1" ht="14.25" customHeight="1" x14ac:dyDescent="0.3"/>
    <row r="334" s="7" customFormat="1" ht="14.25" customHeight="1" x14ac:dyDescent="0.3"/>
    <row r="335" s="7" customFormat="1" ht="14.25" customHeight="1" x14ac:dyDescent="0.3"/>
    <row r="336" s="7" customFormat="1" ht="14.25" customHeight="1" x14ac:dyDescent="0.3"/>
    <row r="337" s="7" customFormat="1" ht="14.25" customHeight="1" x14ac:dyDescent="0.3"/>
    <row r="338" s="7" customFormat="1" ht="14.25" customHeight="1" x14ac:dyDescent="0.3"/>
    <row r="339" s="7" customFormat="1" ht="14.25" customHeight="1" x14ac:dyDescent="0.3"/>
    <row r="340" s="7" customFormat="1" ht="14.25" customHeight="1" x14ac:dyDescent="0.3"/>
    <row r="341" s="7" customFormat="1" ht="14.25" customHeight="1" x14ac:dyDescent="0.3"/>
    <row r="342" s="7" customFormat="1" ht="14.25" customHeight="1" x14ac:dyDescent="0.3"/>
    <row r="343" s="7" customFormat="1" ht="14.25" customHeight="1" x14ac:dyDescent="0.3"/>
    <row r="344" s="7" customFormat="1" ht="14.25" customHeight="1" x14ac:dyDescent="0.3"/>
    <row r="345" s="7" customFormat="1" ht="14.25" customHeight="1" x14ac:dyDescent="0.3"/>
    <row r="346" s="7" customFormat="1" ht="14.25" customHeight="1" x14ac:dyDescent="0.3"/>
    <row r="347" s="7" customFormat="1" ht="14.25" customHeight="1" x14ac:dyDescent="0.3"/>
    <row r="348" s="7" customFormat="1" ht="14.25" customHeight="1" x14ac:dyDescent="0.3"/>
    <row r="349" s="7" customFormat="1" ht="14.25" customHeight="1" x14ac:dyDescent="0.3"/>
    <row r="350" s="7" customFormat="1" ht="14.25" customHeight="1" x14ac:dyDescent="0.3"/>
    <row r="351" s="7" customFormat="1" ht="14.25" customHeight="1" x14ac:dyDescent="0.3"/>
    <row r="352" s="7" customFormat="1" ht="14.25" customHeight="1" x14ac:dyDescent="0.3"/>
    <row r="353" s="7" customFormat="1" ht="14.25" customHeight="1" x14ac:dyDescent="0.3"/>
    <row r="354" s="7" customFormat="1" ht="14.25" customHeight="1" x14ac:dyDescent="0.3"/>
    <row r="355" s="7" customFormat="1" ht="14.25" customHeight="1" x14ac:dyDescent="0.3"/>
    <row r="356" s="7" customFormat="1" ht="14.25" customHeight="1" x14ac:dyDescent="0.3"/>
    <row r="357" s="7" customFormat="1" ht="14.25" customHeight="1" x14ac:dyDescent="0.3"/>
    <row r="358" s="7" customFormat="1" ht="14.25" customHeight="1" x14ac:dyDescent="0.3"/>
    <row r="359" s="7" customFormat="1" ht="14.25" customHeight="1" x14ac:dyDescent="0.3"/>
    <row r="360" s="7" customFormat="1" ht="14.25" customHeight="1" x14ac:dyDescent="0.3"/>
    <row r="361" s="7" customFormat="1" ht="14.25" customHeight="1" x14ac:dyDescent="0.3"/>
    <row r="362" s="7" customFormat="1" ht="14.25" customHeight="1" x14ac:dyDescent="0.3"/>
    <row r="363" s="7" customFormat="1" ht="14.25" customHeight="1" x14ac:dyDescent="0.3"/>
    <row r="364" s="7" customFormat="1" ht="14.25" customHeight="1" x14ac:dyDescent="0.3"/>
    <row r="365" s="7" customFormat="1" ht="14.25" customHeight="1" x14ac:dyDescent="0.3"/>
    <row r="366" s="7" customFormat="1" ht="14.25" customHeight="1" x14ac:dyDescent="0.3"/>
    <row r="367" s="7" customFormat="1" ht="14.25" customHeight="1" x14ac:dyDescent="0.3"/>
    <row r="368" s="7" customFormat="1" ht="14.25" customHeight="1" x14ac:dyDescent="0.3"/>
    <row r="369" s="7" customFormat="1" ht="14.25" customHeight="1" x14ac:dyDescent="0.3"/>
    <row r="370" s="7" customFormat="1" ht="14.25" customHeight="1" x14ac:dyDescent="0.3"/>
    <row r="371" s="7" customFormat="1" ht="14.25" customHeight="1" x14ac:dyDescent="0.3"/>
    <row r="372" s="7" customFormat="1" ht="14.25" customHeight="1" x14ac:dyDescent="0.3"/>
    <row r="373" s="7" customFormat="1" ht="14.25" customHeight="1" x14ac:dyDescent="0.3"/>
    <row r="374" s="7" customFormat="1" ht="14.25" customHeight="1" x14ac:dyDescent="0.3"/>
    <row r="375" s="7" customFormat="1" ht="14.25" customHeight="1" x14ac:dyDescent="0.3"/>
    <row r="376" s="7" customFormat="1" ht="14.25" customHeight="1" x14ac:dyDescent="0.3"/>
    <row r="377" s="7" customFormat="1" ht="14.25" customHeight="1" x14ac:dyDescent="0.3"/>
    <row r="378" s="7" customFormat="1" ht="14.25" customHeight="1" x14ac:dyDescent="0.3"/>
    <row r="379" s="7" customFormat="1" ht="14.25" customHeight="1" x14ac:dyDescent="0.3"/>
    <row r="380" s="7" customFormat="1" ht="14.25" customHeight="1" x14ac:dyDescent="0.3"/>
    <row r="381" s="7" customFormat="1" ht="14.25" customHeight="1" x14ac:dyDescent="0.3"/>
    <row r="382" s="7" customFormat="1" ht="14.25" customHeight="1" x14ac:dyDescent="0.3"/>
    <row r="383" s="7" customFormat="1" ht="14.25" customHeight="1" x14ac:dyDescent="0.3"/>
    <row r="384" s="7" customFormat="1" ht="14.25" customHeight="1" x14ac:dyDescent="0.3"/>
    <row r="385" s="7" customFormat="1" ht="14.25" customHeight="1" x14ac:dyDescent="0.3"/>
    <row r="386" s="7" customFormat="1" ht="14.25" customHeight="1" x14ac:dyDescent="0.3"/>
    <row r="387" s="7" customFormat="1" ht="14.25" customHeight="1" x14ac:dyDescent="0.3"/>
    <row r="388" s="7" customFormat="1" ht="14.25" customHeight="1" x14ac:dyDescent="0.3"/>
    <row r="389" s="7" customFormat="1" ht="14.25" customHeight="1" x14ac:dyDescent="0.3"/>
    <row r="390" s="7" customFormat="1" ht="14.25" customHeight="1" x14ac:dyDescent="0.3"/>
    <row r="391" s="7" customFormat="1" ht="14.25" customHeight="1" x14ac:dyDescent="0.3"/>
    <row r="392" s="7" customFormat="1" ht="14.25" customHeight="1" x14ac:dyDescent="0.3"/>
    <row r="393" s="7" customFormat="1" ht="14.25" customHeight="1" x14ac:dyDescent="0.3"/>
    <row r="394" s="7" customFormat="1" ht="14.25" customHeight="1" x14ac:dyDescent="0.3"/>
    <row r="395" s="7" customFormat="1" ht="14.25" customHeight="1" x14ac:dyDescent="0.3"/>
    <row r="396" s="7" customFormat="1" ht="14.25" customHeight="1" x14ac:dyDescent="0.3"/>
    <row r="397" s="7" customFormat="1" ht="14.25" customHeight="1" x14ac:dyDescent="0.3"/>
    <row r="398" s="7" customFormat="1" ht="14.25" customHeight="1" x14ac:dyDescent="0.3"/>
    <row r="399" s="7" customFormat="1" ht="14.25" customHeight="1" x14ac:dyDescent="0.3"/>
    <row r="400" s="7" customFormat="1" ht="14.25" customHeight="1" x14ac:dyDescent="0.3"/>
    <row r="401" s="7" customFormat="1" ht="14.25" customHeight="1" x14ac:dyDescent="0.3"/>
    <row r="402" s="7" customFormat="1" ht="14.25" customHeight="1" x14ac:dyDescent="0.3"/>
    <row r="403" s="7" customFormat="1" ht="14.25" customHeight="1" x14ac:dyDescent="0.3"/>
    <row r="404" s="7" customFormat="1" ht="14.25" customHeight="1" x14ac:dyDescent="0.3"/>
    <row r="405" s="7" customFormat="1" ht="14.25" customHeight="1" x14ac:dyDescent="0.3"/>
    <row r="406" s="7" customFormat="1" ht="14.25" customHeight="1" x14ac:dyDescent="0.3"/>
    <row r="407" s="7" customFormat="1" ht="14.25" customHeight="1" x14ac:dyDescent="0.3"/>
    <row r="408" s="7" customFormat="1" ht="14.25" customHeight="1" x14ac:dyDescent="0.3"/>
    <row r="409" s="7" customFormat="1" ht="14.25" customHeight="1" x14ac:dyDescent="0.3"/>
    <row r="410" s="7" customFormat="1" ht="14.25" customHeight="1" x14ac:dyDescent="0.3"/>
    <row r="411" s="7" customFormat="1" ht="14.25" customHeight="1" x14ac:dyDescent="0.3"/>
    <row r="412" s="7" customFormat="1" ht="14.25" customHeight="1" x14ac:dyDescent="0.3"/>
    <row r="413" s="7" customFormat="1" ht="14.25" customHeight="1" x14ac:dyDescent="0.3"/>
    <row r="414" s="7" customFormat="1" ht="14.25" customHeight="1" x14ac:dyDescent="0.3"/>
    <row r="415" s="7" customFormat="1" ht="14.25" customHeight="1" x14ac:dyDescent="0.3"/>
    <row r="416" s="7" customFormat="1" ht="14.25" customHeight="1" x14ac:dyDescent="0.3"/>
    <row r="417" s="7" customFormat="1" ht="14.25" customHeight="1" x14ac:dyDescent="0.3"/>
    <row r="418" s="7" customFormat="1" ht="14.25" customHeight="1" x14ac:dyDescent="0.3"/>
    <row r="419" s="7" customFormat="1" ht="14.25" customHeight="1" x14ac:dyDescent="0.3"/>
    <row r="420" s="7" customFormat="1" ht="14.25" customHeight="1" x14ac:dyDescent="0.3"/>
    <row r="421" s="7" customFormat="1" ht="14.25" customHeight="1" x14ac:dyDescent="0.3"/>
    <row r="422" s="7" customFormat="1" ht="14.25" customHeight="1" x14ac:dyDescent="0.3"/>
    <row r="423" s="7" customFormat="1" ht="14.25" customHeight="1" x14ac:dyDescent="0.3"/>
    <row r="424" s="7" customFormat="1" ht="14.25" customHeight="1" x14ac:dyDescent="0.3"/>
    <row r="425" s="7" customFormat="1" ht="14.25" customHeight="1" x14ac:dyDescent="0.3"/>
    <row r="426" s="7" customFormat="1" ht="14.25" customHeight="1" x14ac:dyDescent="0.3"/>
    <row r="427" s="7" customFormat="1" ht="14.25" customHeight="1" x14ac:dyDescent="0.3"/>
    <row r="428" s="7" customFormat="1" ht="14.25" customHeight="1" x14ac:dyDescent="0.3"/>
    <row r="429" s="7" customFormat="1" ht="14.25" customHeight="1" x14ac:dyDescent="0.3"/>
    <row r="430" s="7" customFormat="1" ht="14.25" customHeight="1" x14ac:dyDescent="0.3"/>
    <row r="431" s="7" customFormat="1" ht="14.25" customHeight="1" x14ac:dyDescent="0.3"/>
    <row r="432" s="7" customFormat="1" ht="14.25" customHeight="1" x14ac:dyDescent="0.3"/>
    <row r="433" s="7" customFormat="1" ht="14.25" customHeight="1" x14ac:dyDescent="0.3"/>
    <row r="434" s="7" customFormat="1" ht="14.25" customHeight="1" x14ac:dyDescent="0.3"/>
    <row r="435" s="7" customFormat="1" ht="14.25" customHeight="1" x14ac:dyDescent="0.3"/>
    <row r="436" s="7" customFormat="1" ht="14.25" customHeight="1" x14ac:dyDescent="0.3"/>
    <row r="437" s="7" customFormat="1" ht="14.25" customHeight="1" x14ac:dyDescent="0.3"/>
    <row r="438" s="7" customFormat="1" ht="14.25" customHeight="1" x14ac:dyDescent="0.3"/>
    <row r="439" s="7" customFormat="1" ht="14.25" customHeight="1" x14ac:dyDescent="0.3"/>
    <row r="440" s="7" customFormat="1" ht="14.25" customHeight="1" x14ac:dyDescent="0.3"/>
    <row r="441" s="7" customFormat="1" ht="14.25" customHeight="1" x14ac:dyDescent="0.3"/>
    <row r="442" s="7" customFormat="1" ht="14.25" customHeight="1" x14ac:dyDescent="0.3"/>
    <row r="443" s="7" customFormat="1" ht="14.25" customHeight="1" x14ac:dyDescent="0.3"/>
    <row r="444" s="7" customFormat="1" ht="14.25" customHeight="1" x14ac:dyDescent="0.3"/>
    <row r="445" s="7" customFormat="1" ht="14.25" customHeight="1" x14ac:dyDescent="0.3"/>
    <row r="446" s="7" customFormat="1" ht="14.25" customHeight="1" x14ac:dyDescent="0.3"/>
    <row r="447" s="7" customFormat="1" ht="14.25" customHeight="1" x14ac:dyDescent="0.3"/>
    <row r="448" s="7" customFormat="1" ht="14.25" customHeight="1" x14ac:dyDescent="0.3"/>
    <row r="449" s="7" customFormat="1" ht="14.25" customHeight="1" x14ac:dyDescent="0.3"/>
    <row r="450" s="7" customFormat="1" ht="14.25" customHeight="1" x14ac:dyDescent="0.3"/>
    <row r="451" s="7" customFormat="1" ht="14.25" customHeight="1" x14ac:dyDescent="0.3"/>
    <row r="452" s="7" customFormat="1" ht="14.25" customHeight="1" x14ac:dyDescent="0.3"/>
    <row r="453" s="7" customFormat="1" ht="14.25" customHeight="1" x14ac:dyDescent="0.3"/>
    <row r="454" s="7" customFormat="1" ht="14.25" customHeight="1" x14ac:dyDescent="0.3"/>
    <row r="455" s="7" customFormat="1" ht="14.25" customHeight="1" x14ac:dyDescent="0.3"/>
    <row r="456" s="7" customFormat="1" ht="14.25" customHeight="1" x14ac:dyDescent="0.3"/>
    <row r="457" s="7" customFormat="1" ht="14.25" customHeight="1" x14ac:dyDescent="0.3"/>
    <row r="458" s="7" customFormat="1" ht="14.25" customHeight="1" x14ac:dyDescent="0.3"/>
    <row r="459" s="7" customFormat="1" ht="14.25" customHeight="1" x14ac:dyDescent="0.3"/>
    <row r="460" s="7" customFormat="1" ht="14.25" customHeight="1" x14ac:dyDescent="0.3"/>
    <row r="461" s="7" customFormat="1" ht="14.25" customHeight="1" x14ac:dyDescent="0.3"/>
    <row r="462" s="7" customFormat="1" ht="14.25" customHeight="1" x14ac:dyDescent="0.3"/>
    <row r="463" s="7" customFormat="1" ht="14.25" customHeight="1" x14ac:dyDescent="0.3"/>
    <row r="464" s="7" customFormat="1" ht="14.25" customHeight="1" x14ac:dyDescent="0.3"/>
    <row r="465" s="7" customFormat="1" ht="14.25" customHeight="1" x14ac:dyDescent="0.3"/>
    <row r="466" s="7" customFormat="1" ht="14.25" customHeight="1" x14ac:dyDescent="0.3"/>
    <row r="467" s="7" customFormat="1" ht="14.25" customHeight="1" x14ac:dyDescent="0.3"/>
    <row r="468" s="7" customFormat="1" ht="14.25" customHeight="1" x14ac:dyDescent="0.3"/>
    <row r="469" s="7" customFormat="1" ht="14.25" customHeight="1" x14ac:dyDescent="0.3"/>
    <row r="470" s="7" customFormat="1" ht="14.25" customHeight="1" x14ac:dyDescent="0.3"/>
    <row r="471" s="7" customFormat="1" ht="14.25" customHeight="1" x14ac:dyDescent="0.3"/>
    <row r="472" s="7" customFormat="1" ht="14.25" customHeight="1" x14ac:dyDescent="0.3"/>
    <row r="473" s="7" customFormat="1" ht="14.25" customHeight="1" x14ac:dyDescent="0.3"/>
    <row r="474" s="7" customFormat="1" ht="14.25" customHeight="1" x14ac:dyDescent="0.3"/>
    <row r="475" s="7" customFormat="1" ht="14.25" customHeight="1" x14ac:dyDescent="0.3"/>
    <row r="476" s="7" customFormat="1" ht="14.25" customHeight="1" x14ac:dyDescent="0.3"/>
    <row r="477" s="7" customFormat="1" ht="14.25" customHeight="1" x14ac:dyDescent="0.3"/>
    <row r="478" s="7" customFormat="1" ht="14.25" customHeight="1" x14ac:dyDescent="0.3"/>
    <row r="479" s="7" customFormat="1" ht="14.25" customHeight="1" x14ac:dyDescent="0.3"/>
    <row r="480" s="7" customFormat="1" ht="14.25" customHeight="1" x14ac:dyDescent="0.3"/>
    <row r="481" s="7" customFormat="1" ht="14.25" customHeight="1" x14ac:dyDescent="0.3"/>
    <row r="482" s="7" customFormat="1" ht="14.25" customHeight="1" x14ac:dyDescent="0.3"/>
    <row r="483" s="7" customFormat="1" ht="14.25" customHeight="1" x14ac:dyDescent="0.3"/>
    <row r="484" s="7" customFormat="1" ht="14.25" customHeight="1" x14ac:dyDescent="0.3"/>
    <row r="485" s="7" customFormat="1" ht="14.25" customHeight="1" x14ac:dyDescent="0.3"/>
    <row r="486" s="7" customFormat="1" ht="14.25" customHeight="1" x14ac:dyDescent="0.3"/>
    <row r="487" s="7" customFormat="1" ht="14.25" customHeight="1" x14ac:dyDescent="0.3"/>
    <row r="488" s="7" customFormat="1" ht="14.25" customHeight="1" x14ac:dyDescent="0.3"/>
    <row r="489" s="7" customFormat="1" ht="14.25" customHeight="1" x14ac:dyDescent="0.3"/>
    <row r="490" s="7" customFormat="1" ht="14.25" customHeight="1" x14ac:dyDescent="0.3"/>
    <row r="491" s="7" customFormat="1" ht="14.25" customHeight="1" x14ac:dyDescent="0.3"/>
    <row r="492" s="7" customFormat="1" ht="14.25" customHeight="1" x14ac:dyDescent="0.3"/>
    <row r="493" s="7" customFormat="1" ht="14.25" customHeight="1" x14ac:dyDescent="0.3"/>
    <row r="494" s="7" customFormat="1" ht="14.25" customHeight="1" x14ac:dyDescent="0.3"/>
    <row r="495" s="7" customFormat="1" ht="14.25" customHeight="1" x14ac:dyDescent="0.3"/>
    <row r="496" s="7" customFormat="1" ht="14.25" customHeight="1" x14ac:dyDescent="0.3"/>
    <row r="497" s="7" customFormat="1" ht="14.25" customHeight="1" x14ac:dyDescent="0.3"/>
    <row r="498" s="7" customFormat="1" ht="14.25" customHeight="1" x14ac:dyDescent="0.3"/>
    <row r="499" s="7" customFormat="1" ht="14.25" customHeight="1" x14ac:dyDescent="0.3"/>
    <row r="500" s="7" customFormat="1" ht="14.25" customHeight="1" x14ac:dyDescent="0.3"/>
    <row r="501" s="7" customFormat="1" ht="14.25" customHeight="1" x14ac:dyDescent="0.3"/>
    <row r="502" s="7" customFormat="1" ht="14.25" customHeight="1" x14ac:dyDescent="0.3"/>
    <row r="503" s="7" customFormat="1" ht="14.25" customHeight="1" x14ac:dyDescent="0.3"/>
    <row r="504" s="7" customFormat="1" ht="14.25" customHeight="1" x14ac:dyDescent="0.3"/>
    <row r="505" s="7" customFormat="1" ht="14.25" customHeight="1" x14ac:dyDescent="0.3"/>
    <row r="506" s="7" customFormat="1" ht="14.25" customHeight="1" x14ac:dyDescent="0.3"/>
    <row r="507" s="7" customFormat="1" ht="14.25" customHeight="1" x14ac:dyDescent="0.3"/>
    <row r="508" s="7" customFormat="1" ht="14.25" customHeight="1" x14ac:dyDescent="0.3"/>
    <row r="509" s="7" customFormat="1" ht="14.25" customHeight="1" x14ac:dyDescent="0.3"/>
    <row r="510" s="7" customFormat="1" ht="14.25" customHeight="1" x14ac:dyDescent="0.3"/>
    <row r="511" s="7" customFormat="1" ht="14.25" customHeight="1" x14ac:dyDescent="0.3"/>
    <row r="512" s="7" customFormat="1" ht="14.25" customHeight="1" x14ac:dyDescent="0.3"/>
    <row r="513" s="7" customFormat="1" ht="14.25" customHeight="1" x14ac:dyDescent="0.3"/>
    <row r="514" s="7" customFormat="1" ht="14.25" customHeight="1" x14ac:dyDescent="0.3"/>
    <row r="515" s="7" customFormat="1" ht="14.25" customHeight="1" x14ac:dyDescent="0.3"/>
    <row r="516" s="7" customFormat="1" ht="14.25" customHeight="1" x14ac:dyDescent="0.3"/>
    <row r="517" s="7" customFormat="1" ht="14.25" customHeight="1" x14ac:dyDescent="0.3"/>
    <row r="518" s="7" customFormat="1" ht="14.25" customHeight="1" x14ac:dyDescent="0.3"/>
    <row r="519" s="7" customFormat="1" ht="14.25" customHeight="1" x14ac:dyDescent="0.3"/>
    <row r="520" s="7" customFormat="1" ht="14.25" customHeight="1" x14ac:dyDescent="0.3"/>
    <row r="521" s="7" customFormat="1" ht="14.25" customHeight="1" x14ac:dyDescent="0.3"/>
    <row r="522" s="7" customFormat="1" ht="14.25" customHeight="1" x14ac:dyDescent="0.3"/>
    <row r="523" s="7" customFormat="1" ht="14.25" customHeight="1" x14ac:dyDescent="0.3"/>
    <row r="524" s="7" customFormat="1" ht="14.25" customHeight="1" x14ac:dyDescent="0.3"/>
    <row r="525" s="7" customFormat="1" ht="14.25" customHeight="1" x14ac:dyDescent="0.3"/>
    <row r="526" s="7" customFormat="1" ht="14.25" customHeight="1" x14ac:dyDescent="0.3"/>
    <row r="527" s="7" customFormat="1" ht="14.25" customHeight="1" x14ac:dyDescent="0.3"/>
    <row r="528" s="7" customFormat="1" ht="14.25" customHeight="1" x14ac:dyDescent="0.3"/>
    <row r="529" s="7" customFormat="1" ht="14.25" customHeight="1" x14ac:dyDescent="0.3"/>
    <row r="530" s="7" customFormat="1" ht="14.25" customHeight="1" x14ac:dyDescent="0.3"/>
    <row r="531" s="7" customFormat="1" ht="14.25" customHeight="1" x14ac:dyDescent="0.3"/>
    <row r="532" s="7" customFormat="1" ht="14.25" customHeight="1" x14ac:dyDescent="0.3"/>
    <row r="533" s="7" customFormat="1" ht="14.25" customHeight="1" x14ac:dyDescent="0.3"/>
    <row r="534" s="7" customFormat="1" ht="14.25" customHeight="1" x14ac:dyDescent="0.3"/>
    <row r="535" s="7" customFormat="1" ht="14.25" customHeight="1" x14ac:dyDescent="0.3"/>
    <row r="536" s="7" customFormat="1" ht="14.25" customHeight="1" x14ac:dyDescent="0.3"/>
    <row r="537" s="7" customFormat="1" ht="14.25" customHeight="1" x14ac:dyDescent="0.3"/>
    <row r="538" s="7" customFormat="1" ht="14.25" customHeight="1" x14ac:dyDescent="0.3"/>
    <row r="539" s="7" customFormat="1" ht="14.25" customHeight="1" x14ac:dyDescent="0.3"/>
    <row r="540" s="7" customFormat="1" ht="14.25" customHeight="1" x14ac:dyDescent="0.3"/>
    <row r="541" s="7" customFormat="1" ht="14.25" customHeight="1" x14ac:dyDescent="0.3"/>
    <row r="542" s="7" customFormat="1" ht="14.25" customHeight="1" x14ac:dyDescent="0.3"/>
    <row r="543" s="7" customFormat="1" ht="14.25" customHeight="1" x14ac:dyDescent="0.3"/>
    <row r="544" s="7" customFormat="1" ht="14.25" customHeight="1" x14ac:dyDescent="0.3"/>
    <row r="545" s="7" customFormat="1" ht="14.25" customHeight="1" x14ac:dyDescent="0.3"/>
    <row r="546" s="7" customFormat="1" ht="14.25" customHeight="1" x14ac:dyDescent="0.3"/>
    <row r="547" s="7" customFormat="1" ht="14.25" customHeight="1" x14ac:dyDescent="0.3"/>
    <row r="548" s="7" customFormat="1" ht="14.25" customHeight="1" x14ac:dyDescent="0.3"/>
    <row r="549" s="7" customFormat="1" ht="14.25" customHeight="1" x14ac:dyDescent="0.3"/>
    <row r="550" s="7" customFormat="1" ht="14.25" customHeight="1" x14ac:dyDescent="0.3"/>
    <row r="551" s="7" customFormat="1" ht="14.25" customHeight="1" x14ac:dyDescent="0.3"/>
    <row r="552" s="7" customFormat="1" ht="14.25" customHeight="1" x14ac:dyDescent="0.3"/>
    <row r="553" s="7" customFormat="1" ht="14.25" customHeight="1" x14ac:dyDescent="0.3"/>
    <row r="554" s="7" customFormat="1" ht="14.25" customHeight="1" x14ac:dyDescent="0.3"/>
    <row r="555" s="7" customFormat="1" ht="14.25" customHeight="1" x14ac:dyDescent="0.3"/>
    <row r="556" s="7" customFormat="1" ht="14.25" customHeight="1" x14ac:dyDescent="0.3"/>
    <row r="557" s="7" customFormat="1" ht="14.25" customHeight="1" x14ac:dyDescent="0.3"/>
    <row r="558" s="7" customFormat="1" ht="14.25" customHeight="1" x14ac:dyDescent="0.3"/>
    <row r="559" s="7" customFormat="1" ht="14.25" customHeight="1" x14ac:dyDescent="0.3"/>
    <row r="560" s="7" customFormat="1" ht="14.25" customHeight="1" x14ac:dyDescent="0.3"/>
    <row r="561" s="7" customFormat="1" ht="14.25" customHeight="1" x14ac:dyDescent="0.3"/>
    <row r="562" s="7" customFormat="1" ht="14.25" customHeight="1" x14ac:dyDescent="0.3"/>
    <row r="563" s="7" customFormat="1" ht="14.25" customHeight="1" x14ac:dyDescent="0.3"/>
    <row r="564" s="7" customFormat="1" ht="14.25" customHeight="1" x14ac:dyDescent="0.3"/>
    <row r="565" s="7" customFormat="1" ht="14.25" customHeight="1" x14ac:dyDescent="0.3"/>
    <row r="566" s="7" customFormat="1" ht="14.25" customHeight="1" x14ac:dyDescent="0.3"/>
    <row r="567" s="7" customFormat="1" ht="14.25" customHeight="1" x14ac:dyDescent="0.3"/>
    <row r="568" s="7" customFormat="1" ht="14.25" customHeight="1" x14ac:dyDescent="0.3"/>
    <row r="569" s="7" customFormat="1" ht="14.25" customHeight="1" x14ac:dyDescent="0.3"/>
    <row r="570" s="7" customFormat="1" ht="14.25" customHeight="1" x14ac:dyDescent="0.3"/>
    <row r="571" s="7" customFormat="1" ht="14.25" customHeight="1" x14ac:dyDescent="0.3"/>
    <row r="572" s="7" customFormat="1" ht="14.25" customHeight="1" x14ac:dyDescent="0.3"/>
    <row r="573" s="7" customFormat="1" ht="14.25" customHeight="1" x14ac:dyDescent="0.3"/>
    <row r="574" s="7" customFormat="1" ht="14.25" customHeight="1" x14ac:dyDescent="0.3"/>
    <row r="575" s="7" customFormat="1" ht="14.25" customHeight="1" x14ac:dyDescent="0.3"/>
    <row r="576" s="7" customFormat="1" ht="14.25" customHeight="1" x14ac:dyDescent="0.3"/>
    <row r="577" s="7" customFormat="1" ht="14.25" customHeight="1" x14ac:dyDescent="0.3"/>
    <row r="578" s="7" customFormat="1" ht="14.25" customHeight="1" x14ac:dyDescent="0.3"/>
    <row r="579" s="7" customFormat="1" ht="14.25" customHeight="1" x14ac:dyDescent="0.3"/>
    <row r="580" s="7" customFormat="1" ht="14.25" customHeight="1" x14ac:dyDescent="0.3"/>
    <row r="581" s="7" customFormat="1" ht="14.25" customHeight="1" x14ac:dyDescent="0.3"/>
    <row r="582" s="7" customFormat="1" ht="14.25" customHeight="1" x14ac:dyDescent="0.3"/>
    <row r="583" s="7" customFormat="1" ht="14.25" customHeight="1" x14ac:dyDescent="0.3"/>
    <row r="584" s="7" customFormat="1" ht="14.25" customHeight="1" x14ac:dyDescent="0.3"/>
    <row r="585" s="7" customFormat="1" ht="14.25" customHeight="1" x14ac:dyDescent="0.3"/>
    <row r="586" s="7" customFormat="1" ht="14.25" customHeight="1" x14ac:dyDescent="0.3"/>
    <row r="587" s="7" customFormat="1" ht="14.25" customHeight="1" x14ac:dyDescent="0.3"/>
    <row r="588" s="7" customFormat="1" ht="14.25" customHeight="1" x14ac:dyDescent="0.3"/>
    <row r="589" s="7" customFormat="1" ht="14.25" customHeight="1" x14ac:dyDescent="0.3"/>
    <row r="590" s="7" customFormat="1" ht="14.25" customHeight="1" x14ac:dyDescent="0.3"/>
    <row r="591" s="7" customFormat="1" ht="14.25" customHeight="1" x14ac:dyDescent="0.3"/>
    <row r="592" s="7" customFormat="1" ht="14.25" customHeight="1" x14ac:dyDescent="0.3"/>
    <row r="593" s="7" customFormat="1" ht="14.25" customHeight="1" x14ac:dyDescent="0.3"/>
    <row r="594" s="7" customFormat="1" ht="14.25" customHeight="1" x14ac:dyDescent="0.3"/>
    <row r="595" s="7" customFormat="1" ht="14.25" customHeight="1" x14ac:dyDescent="0.3"/>
    <row r="596" s="7" customFormat="1" ht="14.25" customHeight="1" x14ac:dyDescent="0.3"/>
    <row r="597" s="7" customFormat="1" ht="14.25" customHeight="1" x14ac:dyDescent="0.3"/>
    <row r="598" s="7" customFormat="1" ht="14.25" customHeight="1" x14ac:dyDescent="0.3"/>
    <row r="599" s="7" customFormat="1" ht="14.25" customHeight="1" x14ac:dyDescent="0.3"/>
    <row r="600" s="7" customFormat="1" ht="14.25" customHeight="1" x14ac:dyDescent="0.3"/>
    <row r="601" s="7" customFormat="1" ht="14.25" customHeight="1" x14ac:dyDescent="0.3"/>
    <row r="602" s="7" customFormat="1" ht="14.25" customHeight="1" x14ac:dyDescent="0.3"/>
    <row r="603" s="7" customFormat="1" ht="14.25" customHeight="1" x14ac:dyDescent="0.3"/>
    <row r="604" s="7" customFormat="1" ht="14.25" customHeight="1" x14ac:dyDescent="0.3"/>
    <row r="605" s="7" customFormat="1" ht="14.25" customHeight="1" x14ac:dyDescent="0.3"/>
    <row r="606" s="7" customFormat="1" ht="14.25" customHeight="1" x14ac:dyDescent="0.3"/>
    <row r="607" s="7" customFormat="1" ht="14.25" customHeight="1" x14ac:dyDescent="0.3"/>
    <row r="608" s="7" customFormat="1" ht="14.25" customHeight="1" x14ac:dyDescent="0.3"/>
    <row r="609" s="7" customFormat="1" ht="14.25" customHeight="1" x14ac:dyDescent="0.3"/>
    <row r="610" s="7" customFormat="1" ht="14.25" customHeight="1" x14ac:dyDescent="0.3"/>
    <row r="611" s="7" customFormat="1" ht="14.25" customHeight="1" x14ac:dyDescent="0.3"/>
    <row r="612" s="7" customFormat="1" ht="14.25" customHeight="1" x14ac:dyDescent="0.3"/>
    <row r="613" s="7" customFormat="1" ht="14.25" customHeight="1" x14ac:dyDescent="0.3"/>
    <row r="614" s="7" customFormat="1" ht="14.25" customHeight="1" x14ac:dyDescent="0.3"/>
    <row r="615" s="7" customFormat="1" ht="14.25" customHeight="1" x14ac:dyDescent="0.3"/>
    <row r="616" s="7" customFormat="1" ht="14.25" customHeight="1" x14ac:dyDescent="0.3"/>
    <row r="617" s="7" customFormat="1" ht="14.25" customHeight="1" x14ac:dyDescent="0.3"/>
    <row r="618" s="7" customFormat="1" ht="14.25" customHeight="1" x14ac:dyDescent="0.3"/>
    <row r="619" s="7" customFormat="1" ht="14.25" customHeight="1" x14ac:dyDescent="0.3"/>
    <row r="620" s="7" customFormat="1" ht="14.25" customHeight="1" x14ac:dyDescent="0.3"/>
    <row r="621" s="7" customFormat="1" ht="14.25" customHeight="1" x14ac:dyDescent="0.3"/>
    <row r="622" s="7" customFormat="1" ht="14.25" customHeight="1" x14ac:dyDescent="0.3"/>
    <row r="623" s="7" customFormat="1" ht="14.25" customHeight="1" x14ac:dyDescent="0.3"/>
    <row r="624" s="7" customFormat="1" ht="14.25" customHeight="1" x14ac:dyDescent="0.3"/>
    <row r="625" s="7" customFormat="1" ht="14.25" customHeight="1" x14ac:dyDescent="0.3"/>
    <row r="626" s="7" customFormat="1" ht="14.25" customHeight="1" x14ac:dyDescent="0.3"/>
    <row r="627" s="7" customFormat="1" ht="14.25" customHeight="1" x14ac:dyDescent="0.3"/>
    <row r="628" s="7" customFormat="1" ht="14.25" customHeight="1" x14ac:dyDescent="0.3"/>
    <row r="629" s="7" customFormat="1" ht="14.25" customHeight="1" x14ac:dyDescent="0.3"/>
    <row r="630" s="7" customFormat="1" ht="14.25" customHeight="1" x14ac:dyDescent="0.3"/>
    <row r="631" s="7" customFormat="1" ht="14.25" customHeight="1" x14ac:dyDescent="0.3"/>
    <row r="632" s="7" customFormat="1" ht="14.25" customHeight="1" x14ac:dyDescent="0.3"/>
    <row r="633" s="7" customFormat="1" ht="14.25" customHeight="1" x14ac:dyDescent="0.3"/>
    <row r="634" s="7" customFormat="1" ht="14.25" customHeight="1" x14ac:dyDescent="0.3"/>
    <row r="635" s="7" customFormat="1" ht="14.25" customHeight="1" x14ac:dyDescent="0.3"/>
    <row r="636" s="7" customFormat="1" ht="14.25" customHeight="1" x14ac:dyDescent="0.3"/>
    <row r="637" s="7" customFormat="1" ht="14.25" customHeight="1" x14ac:dyDescent="0.3"/>
    <row r="638" s="7" customFormat="1" ht="14.25" customHeight="1" x14ac:dyDescent="0.3"/>
    <row r="639" s="7" customFormat="1" ht="14.25" customHeight="1" x14ac:dyDescent="0.3"/>
    <row r="640" s="7" customFormat="1" ht="14.25" customHeight="1" x14ac:dyDescent="0.3"/>
    <row r="641" s="7" customFormat="1" ht="14.25" customHeight="1" x14ac:dyDescent="0.3"/>
    <row r="642" s="7" customFormat="1" ht="14.25" customHeight="1" x14ac:dyDescent="0.3"/>
    <row r="643" s="7" customFormat="1" ht="14.25" customHeight="1" x14ac:dyDescent="0.3"/>
    <row r="644" s="7" customFormat="1" ht="14.25" customHeight="1" x14ac:dyDescent="0.3"/>
    <row r="645" s="7" customFormat="1" ht="14.25" customHeight="1" x14ac:dyDescent="0.3"/>
    <row r="646" s="7" customFormat="1" ht="14.25" customHeight="1" x14ac:dyDescent="0.3"/>
    <row r="647" s="7" customFormat="1" ht="14.25" customHeight="1" x14ac:dyDescent="0.3"/>
    <row r="648" s="7" customFormat="1" ht="14.25" customHeight="1" x14ac:dyDescent="0.3"/>
    <row r="649" s="7" customFormat="1" ht="14.25" customHeight="1" x14ac:dyDescent="0.3"/>
    <row r="650" s="7" customFormat="1" ht="14.25" customHeight="1" x14ac:dyDescent="0.3"/>
    <row r="651" s="7" customFormat="1" ht="14.25" customHeight="1" x14ac:dyDescent="0.3"/>
    <row r="652" s="7" customFormat="1" ht="14.25" customHeight="1" x14ac:dyDescent="0.3"/>
    <row r="653" s="7" customFormat="1" ht="14.25" customHeight="1" x14ac:dyDescent="0.3"/>
    <row r="654" s="7" customFormat="1" ht="14.25" customHeight="1" x14ac:dyDescent="0.3"/>
    <row r="655" s="7" customFormat="1" ht="14.25" customHeight="1" x14ac:dyDescent="0.3"/>
    <row r="656" s="7" customFormat="1" ht="14.25" customHeight="1" x14ac:dyDescent="0.3"/>
    <row r="657" s="7" customFormat="1" ht="14.25" customHeight="1" x14ac:dyDescent="0.3"/>
    <row r="658" s="7" customFormat="1" ht="14.25" customHeight="1" x14ac:dyDescent="0.3"/>
    <row r="659" s="7" customFormat="1" ht="14.25" customHeight="1" x14ac:dyDescent="0.3"/>
    <row r="660" s="7" customFormat="1" ht="14.25" customHeight="1" x14ac:dyDescent="0.3"/>
    <row r="661" s="7" customFormat="1" ht="14.25" customHeight="1" x14ac:dyDescent="0.3"/>
    <row r="662" s="7" customFormat="1" ht="14.25" customHeight="1" x14ac:dyDescent="0.3"/>
    <row r="663" s="7" customFormat="1" ht="14.25" customHeight="1" x14ac:dyDescent="0.3"/>
    <row r="664" s="7" customFormat="1" ht="14.25" customHeight="1" x14ac:dyDescent="0.3"/>
    <row r="665" s="7" customFormat="1" ht="14.25" customHeight="1" x14ac:dyDescent="0.3"/>
    <row r="666" s="7" customFormat="1" ht="14.25" customHeight="1" x14ac:dyDescent="0.3"/>
    <row r="667" s="7" customFormat="1" ht="14.25" customHeight="1" x14ac:dyDescent="0.3"/>
    <row r="668" s="7" customFormat="1" ht="14.25" customHeight="1" x14ac:dyDescent="0.3"/>
    <row r="669" s="7" customFormat="1" ht="14.25" customHeight="1" x14ac:dyDescent="0.3"/>
    <row r="670" s="7" customFormat="1" ht="14.25" customHeight="1" x14ac:dyDescent="0.3"/>
    <row r="671" s="7" customFormat="1" ht="14.25" customHeight="1" x14ac:dyDescent="0.3"/>
    <row r="672" s="7" customFormat="1" ht="14.25" customHeight="1" x14ac:dyDescent="0.3"/>
    <row r="673" s="7" customFormat="1" ht="14.25" customHeight="1" x14ac:dyDescent="0.3"/>
    <row r="674" s="7" customFormat="1" ht="14.25" customHeight="1" x14ac:dyDescent="0.3"/>
    <row r="675" s="7" customFormat="1" ht="14.25" customHeight="1" x14ac:dyDescent="0.3"/>
    <row r="676" s="7" customFormat="1" ht="14.25" customHeight="1" x14ac:dyDescent="0.3"/>
    <row r="677" s="7" customFormat="1" ht="14.25" customHeight="1" x14ac:dyDescent="0.3"/>
    <row r="678" s="7" customFormat="1" ht="14.25" customHeight="1" x14ac:dyDescent="0.3"/>
    <row r="679" s="7" customFormat="1" ht="14.25" customHeight="1" x14ac:dyDescent="0.3"/>
    <row r="680" s="7" customFormat="1" ht="14.25" customHeight="1" x14ac:dyDescent="0.3"/>
    <row r="681" s="7" customFormat="1" ht="14.25" customHeight="1" x14ac:dyDescent="0.3"/>
    <row r="682" s="7" customFormat="1" ht="14.25" customHeight="1" x14ac:dyDescent="0.3"/>
    <row r="683" s="7" customFormat="1" ht="14.25" customHeight="1" x14ac:dyDescent="0.3"/>
    <row r="684" s="7" customFormat="1" ht="14.25" customHeight="1" x14ac:dyDescent="0.3"/>
    <row r="685" s="7" customFormat="1" ht="14.25" customHeight="1" x14ac:dyDescent="0.3"/>
    <row r="686" s="7" customFormat="1" ht="14.25" customHeight="1" x14ac:dyDescent="0.3"/>
    <row r="687" s="7" customFormat="1" ht="14.25" customHeight="1" x14ac:dyDescent="0.3"/>
    <row r="688" s="7" customFormat="1" ht="14.25" customHeight="1" x14ac:dyDescent="0.3"/>
    <row r="689" s="7" customFormat="1" ht="14.25" customHeight="1" x14ac:dyDescent="0.3"/>
    <row r="690" s="7" customFormat="1" ht="14.25" customHeight="1" x14ac:dyDescent="0.3"/>
    <row r="691" s="7" customFormat="1" ht="14.25" customHeight="1" x14ac:dyDescent="0.3"/>
    <row r="692" s="7" customFormat="1" ht="14.25" customHeight="1" x14ac:dyDescent="0.3"/>
    <row r="693" s="7" customFormat="1" ht="14.25" customHeight="1" x14ac:dyDescent="0.3"/>
    <row r="694" s="7" customFormat="1" ht="14.25" customHeight="1" x14ac:dyDescent="0.3"/>
    <row r="695" s="7" customFormat="1" ht="14.25" customHeight="1" x14ac:dyDescent="0.3"/>
    <row r="696" s="7" customFormat="1" ht="14.25" customHeight="1" x14ac:dyDescent="0.3"/>
    <row r="697" s="7" customFormat="1" ht="14.25" customHeight="1" x14ac:dyDescent="0.3"/>
    <row r="698" s="7" customFormat="1" ht="14.25" customHeight="1" x14ac:dyDescent="0.3"/>
    <row r="699" s="7" customFormat="1" ht="14.25" customHeight="1" x14ac:dyDescent="0.3"/>
    <row r="700" s="7" customFormat="1" ht="14.25" customHeight="1" x14ac:dyDescent="0.3"/>
    <row r="701" s="7" customFormat="1" ht="14.25" customHeight="1" x14ac:dyDescent="0.3"/>
    <row r="702" s="7" customFormat="1" ht="14.25" customHeight="1" x14ac:dyDescent="0.3"/>
    <row r="703" s="7" customFormat="1" ht="14.25" customHeight="1" x14ac:dyDescent="0.3"/>
    <row r="704" s="7" customFormat="1" ht="14.25" customHeight="1" x14ac:dyDescent="0.3"/>
    <row r="705" s="7" customFormat="1" ht="14.25" customHeight="1" x14ac:dyDescent="0.3"/>
    <row r="706" s="7" customFormat="1" ht="14.25" customHeight="1" x14ac:dyDescent="0.3"/>
    <row r="707" s="7" customFormat="1" ht="14.25" customHeight="1" x14ac:dyDescent="0.3"/>
    <row r="708" s="7" customFormat="1" ht="14.25" customHeight="1" x14ac:dyDescent="0.3"/>
    <row r="709" s="7" customFormat="1" ht="14.25" customHeight="1" x14ac:dyDescent="0.3"/>
    <row r="710" s="7" customFormat="1" ht="14.25" customHeight="1" x14ac:dyDescent="0.3"/>
    <row r="711" s="7" customFormat="1" ht="14.25" customHeight="1" x14ac:dyDescent="0.3"/>
    <row r="712" s="7" customFormat="1" ht="14.25" customHeight="1" x14ac:dyDescent="0.3"/>
    <row r="713" s="7" customFormat="1" ht="14.25" customHeight="1" x14ac:dyDescent="0.3"/>
    <row r="714" s="7" customFormat="1" ht="14.25" customHeight="1" x14ac:dyDescent="0.3"/>
    <row r="715" s="7" customFormat="1" ht="14.25" customHeight="1" x14ac:dyDescent="0.3"/>
    <row r="716" s="7" customFormat="1" ht="14.25" customHeight="1" x14ac:dyDescent="0.3"/>
    <row r="717" s="7" customFormat="1" ht="14.25" customHeight="1" x14ac:dyDescent="0.3"/>
    <row r="718" s="7" customFormat="1" ht="14.25" customHeight="1" x14ac:dyDescent="0.3"/>
    <row r="719" s="7" customFormat="1" ht="14.25" customHeight="1" x14ac:dyDescent="0.3"/>
    <row r="720" s="7" customFormat="1" ht="14.25" customHeight="1" x14ac:dyDescent="0.3"/>
    <row r="721" s="7" customFormat="1" ht="14.25" customHeight="1" x14ac:dyDescent="0.3"/>
    <row r="722" s="7" customFormat="1" ht="14.25" customHeight="1" x14ac:dyDescent="0.3"/>
    <row r="723" s="7" customFormat="1" ht="14.25" customHeight="1" x14ac:dyDescent="0.3"/>
    <row r="724" s="7" customFormat="1" ht="14.25" customHeight="1" x14ac:dyDescent="0.3"/>
    <row r="725" s="7" customFormat="1" ht="14.25" customHeight="1" x14ac:dyDescent="0.3"/>
    <row r="726" s="7" customFormat="1" ht="14.25" customHeight="1" x14ac:dyDescent="0.3"/>
    <row r="727" s="7" customFormat="1" ht="14.25" customHeight="1" x14ac:dyDescent="0.3"/>
    <row r="728" s="7" customFormat="1" ht="14.25" customHeight="1" x14ac:dyDescent="0.3"/>
    <row r="729" s="7" customFormat="1" ht="14.25" customHeight="1" x14ac:dyDescent="0.3"/>
    <row r="730" s="7" customFormat="1" ht="14.25" customHeight="1" x14ac:dyDescent="0.3"/>
    <row r="731" s="7" customFormat="1" ht="14.25" customHeight="1" x14ac:dyDescent="0.3"/>
    <row r="732" s="7" customFormat="1" ht="14.25" customHeight="1" x14ac:dyDescent="0.3"/>
    <row r="733" s="7" customFormat="1" ht="14.25" customHeight="1" x14ac:dyDescent="0.3"/>
    <row r="734" s="7" customFormat="1" ht="14.25" customHeight="1" x14ac:dyDescent="0.3"/>
    <row r="735" s="7" customFormat="1" ht="14.25" customHeight="1" x14ac:dyDescent="0.3"/>
    <row r="736" s="7" customFormat="1" ht="14.25" customHeight="1" x14ac:dyDescent="0.3"/>
    <row r="737" s="7" customFormat="1" ht="14.25" customHeight="1" x14ac:dyDescent="0.3"/>
    <row r="738" s="7" customFormat="1" ht="14.25" customHeight="1" x14ac:dyDescent="0.3"/>
    <row r="739" s="7" customFormat="1" ht="14.25" customHeight="1" x14ac:dyDescent="0.3"/>
    <row r="740" s="7" customFormat="1" ht="14.25" customHeight="1" x14ac:dyDescent="0.3"/>
    <row r="741" s="7" customFormat="1" ht="14.25" customHeight="1" x14ac:dyDescent="0.3"/>
    <row r="742" s="7" customFormat="1" ht="14.25" customHeight="1" x14ac:dyDescent="0.3"/>
    <row r="743" s="7" customFormat="1" ht="14.25" customHeight="1" x14ac:dyDescent="0.3"/>
    <row r="744" s="7" customFormat="1" ht="14.25" customHeight="1" x14ac:dyDescent="0.3"/>
    <row r="745" s="7" customFormat="1" ht="14.25" customHeight="1" x14ac:dyDescent="0.3"/>
    <row r="746" s="7" customFormat="1" ht="14.25" customHeight="1" x14ac:dyDescent="0.3"/>
    <row r="747" s="7" customFormat="1" ht="14.25" customHeight="1" x14ac:dyDescent="0.3"/>
    <row r="748" s="7" customFormat="1" ht="14.25" customHeight="1" x14ac:dyDescent="0.3"/>
    <row r="749" s="7" customFormat="1" ht="14.25" customHeight="1" x14ac:dyDescent="0.3"/>
    <row r="750" s="7" customFormat="1" ht="14.25" customHeight="1" x14ac:dyDescent="0.3"/>
    <row r="751" s="7" customFormat="1" ht="14.25" customHeight="1" x14ac:dyDescent="0.3"/>
    <row r="752" s="7" customFormat="1" ht="14.25" customHeight="1" x14ac:dyDescent="0.3"/>
    <row r="753" s="7" customFormat="1" ht="14.25" customHeight="1" x14ac:dyDescent="0.3"/>
    <row r="754" s="7" customFormat="1" ht="14.25" customHeight="1" x14ac:dyDescent="0.3"/>
    <row r="755" s="7" customFormat="1" ht="14.25" customHeight="1" x14ac:dyDescent="0.3"/>
    <row r="756" s="7" customFormat="1" ht="14.25" customHeight="1" x14ac:dyDescent="0.3"/>
    <row r="757" s="7" customFormat="1" ht="14.25" customHeight="1" x14ac:dyDescent="0.3"/>
    <row r="758" s="7" customFormat="1" ht="14.25" customHeight="1" x14ac:dyDescent="0.3"/>
    <row r="759" s="7" customFormat="1" ht="14.25" customHeight="1" x14ac:dyDescent="0.3"/>
    <row r="760" s="7" customFormat="1" ht="14.25" customHeight="1" x14ac:dyDescent="0.3"/>
    <row r="761" s="7" customFormat="1" ht="14.25" customHeight="1" x14ac:dyDescent="0.3"/>
    <row r="762" s="7" customFormat="1" ht="14.25" customHeight="1" x14ac:dyDescent="0.3"/>
    <row r="763" s="7" customFormat="1" ht="14.25" customHeight="1" x14ac:dyDescent="0.3"/>
    <row r="764" s="7" customFormat="1" ht="14.25" customHeight="1" x14ac:dyDescent="0.3"/>
    <row r="765" s="7" customFormat="1" ht="14.25" customHeight="1" x14ac:dyDescent="0.3"/>
    <row r="766" s="7" customFormat="1" ht="14.25" customHeight="1" x14ac:dyDescent="0.3"/>
    <row r="767" s="7" customFormat="1" ht="14.25" customHeight="1" x14ac:dyDescent="0.3"/>
    <row r="768" s="7" customFormat="1" ht="14.25" customHeight="1" x14ac:dyDescent="0.3"/>
    <row r="769" s="7" customFormat="1" ht="14.25" customHeight="1" x14ac:dyDescent="0.3"/>
    <row r="770" s="7" customFormat="1" ht="14.25" customHeight="1" x14ac:dyDescent="0.3"/>
    <row r="771" s="7" customFormat="1" ht="14.25" customHeight="1" x14ac:dyDescent="0.3"/>
    <row r="772" s="7" customFormat="1" ht="14.25" customHeight="1" x14ac:dyDescent="0.3"/>
    <row r="773" s="7" customFormat="1" ht="14.25" customHeight="1" x14ac:dyDescent="0.3"/>
    <row r="774" s="7" customFormat="1" ht="14.25" customHeight="1" x14ac:dyDescent="0.3"/>
    <row r="775" s="7" customFormat="1" ht="14.25" customHeight="1" x14ac:dyDescent="0.3"/>
    <row r="776" s="7" customFormat="1" ht="14.25" customHeight="1" x14ac:dyDescent="0.3"/>
    <row r="777" s="7" customFormat="1" ht="14.25" customHeight="1" x14ac:dyDescent="0.3"/>
    <row r="778" s="7" customFormat="1" ht="14.25" customHeight="1" x14ac:dyDescent="0.3"/>
    <row r="779" s="7" customFormat="1" ht="14.25" customHeight="1" x14ac:dyDescent="0.3"/>
    <row r="780" s="7" customFormat="1" ht="14.25" customHeight="1" x14ac:dyDescent="0.3"/>
    <row r="781" s="7" customFormat="1" ht="14.25" customHeight="1" x14ac:dyDescent="0.3"/>
    <row r="782" s="7" customFormat="1" ht="14.25" customHeight="1" x14ac:dyDescent="0.3"/>
    <row r="783" s="7" customFormat="1" ht="14.25" customHeight="1" x14ac:dyDescent="0.3"/>
    <row r="784" s="7" customFormat="1" ht="14.25" customHeight="1" x14ac:dyDescent="0.3"/>
    <row r="785" s="7" customFormat="1" ht="14.25" customHeight="1" x14ac:dyDescent="0.3"/>
    <row r="786" s="7" customFormat="1" ht="14.25" customHeight="1" x14ac:dyDescent="0.3"/>
    <row r="787" s="7" customFormat="1" ht="14.25" customHeight="1" x14ac:dyDescent="0.3"/>
    <row r="788" s="7" customFormat="1" ht="14.25" customHeight="1" x14ac:dyDescent="0.3"/>
    <row r="789" s="7" customFormat="1" ht="14.25" customHeight="1" x14ac:dyDescent="0.3"/>
    <row r="790" s="7" customFormat="1" ht="14.25" customHeight="1" x14ac:dyDescent="0.3"/>
    <row r="791" s="7" customFormat="1" ht="14.25" customHeight="1" x14ac:dyDescent="0.3"/>
    <row r="792" s="7" customFormat="1" ht="14.25" customHeight="1" x14ac:dyDescent="0.3"/>
    <row r="793" s="7" customFormat="1" ht="14.25" customHeight="1" x14ac:dyDescent="0.3"/>
    <row r="794" s="7" customFormat="1" ht="14.25" customHeight="1" x14ac:dyDescent="0.3"/>
    <row r="795" s="7" customFormat="1" ht="14.25" customHeight="1" x14ac:dyDescent="0.3"/>
    <row r="796" s="7" customFormat="1" ht="14.25" customHeight="1" x14ac:dyDescent="0.3"/>
    <row r="797" s="7" customFormat="1" ht="14.25" customHeight="1" x14ac:dyDescent="0.3"/>
    <row r="798" s="7" customFormat="1" ht="14.25" customHeight="1" x14ac:dyDescent="0.3"/>
    <row r="799" s="7" customFormat="1" ht="14.25" customHeight="1" x14ac:dyDescent="0.3"/>
    <row r="800" s="7" customFormat="1" ht="14.25" customHeight="1" x14ac:dyDescent="0.3"/>
    <row r="801" s="7" customFormat="1" ht="14.25" customHeight="1" x14ac:dyDescent="0.3"/>
    <row r="802" s="7" customFormat="1" ht="14.25" customHeight="1" x14ac:dyDescent="0.3"/>
    <row r="803" s="7" customFormat="1" ht="14.25" customHeight="1" x14ac:dyDescent="0.3"/>
    <row r="804" s="7" customFormat="1" ht="14.25" customHeight="1" x14ac:dyDescent="0.3"/>
    <row r="805" s="7" customFormat="1" ht="14.25" customHeight="1" x14ac:dyDescent="0.3"/>
    <row r="806" s="7" customFormat="1" ht="14.25" customHeight="1" x14ac:dyDescent="0.3"/>
    <row r="807" s="7" customFormat="1" ht="14.25" customHeight="1" x14ac:dyDescent="0.3"/>
    <row r="808" s="7" customFormat="1" ht="14.25" customHeight="1" x14ac:dyDescent="0.3"/>
    <row r="809" s="7" customFormat="1" ht="14.25" customHeight="1" x14ac:dyDescent="0.3"/>
    <row r="810" s="7" customFormat="1" ht="14.25" customHeight="1" x14ac:dyDescent="0.3"/>
    <row r="811" s="7" customFormat="1" ht="14.25" customHeight="1" x14ac:dyDescent="0.3"/>
    <row r="812" s="7" customFormat="1" ht="14.25" customHeight="1" x14ac:dyDescent="0.3"/>
    <row r="813" s="7" customFormat="1" ht="14.25" customHeight="1" x14ac:dyDescent="0.3"/>
    <row r="814" s="7" customFormat="1" ht="14.25" customHeight="1" x14ac:dyDescent="0.3"/>
    <row r="815" s="7" customFormat="1" ht="14.25" customHeight="1" x14ac:dyDescent="0.3"/>
    <row r="816" s="7" customFormat="1" ht="14.25" customHeight="1" x14ac:dyDescent="0.3"/>
    <row r="817" s="7" customFormat="1" ht="14.25" customHeight="1" x14ac:dyDescent="0.3"/>
    <row r="818" s="7" customFormat="1" ht="14.25" customHeight="1" x14ac:dyDescent="0.3"/>
    <row r="819" s="7" customFormat="1" ht="14.25" customHeight="1" x14ac:dyDescent="0.3"/>
    <row r="820" s="7" customFormat="1" ht="14.25" customHeight="1" x14ac:dyDescent="0.3"/>
    <row r="821" s="7" customFormat="1" ht="14.25" customHeight="1" x14ac:dyDescent="0.3"/>
    <row r="822" s="7" customFormat="1" ht="14.25" customHeight="1" x14ac:dyDescent="0.3"/>
    <row r="823" s="7" customFormat="1" ht="14.25" customHeight="1" x14ac:dyDescent="0.3"/>
    <row r="824" s="7" customFormat="1" ht="14.25" customHeight="1" x14ac:dyDescent="0.3"/>
    <row r="825" s="7" customFormat="1" ht="14.25" customHeight="1" x14ac:dyDescent="0.3"/>
    <row r="826" s="7" customFormat="1" ht="14.25" customHeight="1" x14ac:dyDescent="0.3"/>
    <row r="827" s="7" customFormat="1" ht="14.25" customHeight="1" x14ac:dyDescent="0.3"/>
    <row r="828" s="7" customFormat="1" ht="14.25" customHeight="1" x14ac:dyDescent="0.3"/>
    <row r="829" s="7" customFormat="1" ht="14.25" customHeight="1" x14ac:dyDescent="0.3"/>
    <row r="830" s="7" customFormat="1" ht="14.25" customHeight="1" x14ac:dyDescent="0.3"/>
    <row r="831" s="7" customFormat="1" ht="14.25" customHeight="1" x14ac:dyDescent="0.3"/>
    <row r="832" s="7" customFormat="1" ht="14.25" customHeight="1" x14ac:dyDescent="0.3"/>
    <row r="833" s="7" customFormat="1" ht="14.25" customHeight="1" x14ac:dyDescent="0.3"/>
    <row r="834" s="7" customFormat="1" ht="14.25" customHeight="1" x14ac:dyDescent="0.3"/>
    <row r="835" s="7" customFormat="1" ht="14.25" customHeight="1" x14ac:dyDescent="0.3"/>
    <row r="836" s="7" customFormat="1" ht="14.25" customHeight="1" x14ac:dyDescent="0.3"/>
    <row r="837" s="7" customFormat="1" ht="14.25" customHeight="1" x14ac:dyDescent="0.3"/>
    <row r="838" s="7" customFormat="1" ht="14.25" customHeight="1" x14ac:dyDescent="0.3"/>
    <row r="839" s="7" customFormat="1" ht="14.25" customHeight="1" x14ac:dyDescent="0.3"/>
    <row r="840" s="7" customFormat="1" ht="14.25" customHeight="1" x14ac:dyDescent="0.3"/>
    <row r="841" s="7" customFormat="1" ht="14.25" customHeight="1" x14ac:dyDescent="0.3"/>
    <row r="842" s="7" customFormat="1" ht="14.25" customHeight="1" x14ac:dyDescent="0.3"/>
    <row r="843" s="7" customFormat="1" ht="14.25" customHeight="1" x14ac:dyDescent="0.3"/>
    <row r="844" s="7" customFormat="1" ht="14.25" customHeight="1" x14ac:dyDescent="0.3"/>
    <row r="845" s="7" customFormat="1" ht="14.25" customHeight="1" x14ac:dyDescent="0.3"/>
    <row r="846" s="7" customFormat="1" ht="14.25" customHeight="1" x14ac:dyDescent="0.3"/>
    <row r="847" s="7" customFormat="1" ht="14.25" customHeight="1" x14ac:dyDescent="0.3"/>
    <row r="848" s="7" customFormat="1" ht="14.25" customHeight="1" x14ac:dyDescent="0.3"/>
    <row r="849" s="7" customFormat="1" ht="14.25" customHeight="1" x14ac:dyDescent="0.3"/>
    <row r="850" s="7" customFormat="1" ht="14.25" customHeight="1" x14ac:dyDescent="0.3"/>
    <row r="851" s="7" customFormat="1" ht="14.25" customHeight="1" x14ac:dyDescent="0.3"/>
    <row r="852" s="7" customFormat="1" ht="14.25" customHeight="1" x14ac:dyDescent="0.3"/>
    <row r="853" s="7" customFormat="1" ht="14.25" customHeight="1" x14ac:dyDescent="0.3"/>
    <row r="854" s="7" customFormat="1" ht="14.25" customHeight="1" x14ac:dyDescent="0.3"/>
    <row r="855" s="7" customFormat="1" ht="14.25" customHeight="1" x14ac:dyDescent="0.3"/>
    <row r="856" s="7" customFormat="1" ht="14.25" customHeight="1" x14ac:dyDescent="0.3"/>
    <row r="857" s="7" customFormat="1" ht="14.25" customHeight="1" x14ac:dyDescent="0.3"/>
    <row r="858" s="7" customFormat="1" ht="14.25" customHeight="1" x14ac:dyDescent="0.3"/>
    <row r="859" s="7" customFormat="1" ht="14.25" customHeight="1" x14ac:dyDescent="0.3"/>
    <row r="860" s="7" customFormat="1" ht="14.25" customHeight="1" x14ac:dyDescent="0.3"/>
    <row r="861" s="7" customFormat="1" ht="14.25" customHeight="1" x14ac:dyDescent="0.3"/>
    <row r="862" s="7" customFormat="1" ht="14.25" customHeight="1" x14ac:dyDescent="0.3"/>
    <row r="863" s="7" customFormat="1" ht="14.25" customHeight="1" x14ac:dyDescent="0.3"/>
    <row r="864" s="7" customFormat="1" ht="14.25" customHeight="1" x14ac:dyDescent="0.3"/>
    <row r="865" s="7" customFormat="1" ht="14.25" customHeight="1" x14ac:dyDescent="0.3"/>
    <row r="866" s="7" customFormat="1" ht="14.25" customHeight="1" x14ac:dyDescent="0.3"/>
    <row r="867" s="7" customFormat="1" ht="14.25" customHeight="1" x14ac:dyDescent="0.3"/>
    <row r="868" s="7" customFormat="1" ht="14.25" customHeight="1" x14ac:dyDescent="0.3"/>
    <row r="869" s="7" customFormat="1" ht="14.25" customHeight="1" x14ac:dyDescent="0.3"/>
    <row r="870" s="7" customFormat="1" ht="14.25" customHeight="1" x14ac:dyDescent="0.3"/>
    <row r="871" s="7" customFormat="1" ht="14.25" customHeight="1" x14ac:dyDescent="0.3"/>
    <row r="872" s="7" customFormat="1" ht="14.25" customHeight="1" x14ac:dyDescent="0.3"/>
    <row r="873" s="7" customFormat="1" ht="14.25" customHeight="1" x14ac:dyDescent="0.3"/>
    <row r="874" s="7" customFormat="1" ht="14.25" customHeight="1" x14ac:dyDescent="0.3"/>
    <row r="875" s="7" customFormat="1" ht="14.25" customHeight="1" x14ac:dyDescent="0.3"/>
    <row r="876" s="7" customFormat="1" ht="14.25" customHeight="1" x14ac:dyDescent="0.3"/>
    <row r="877" s="7" customFormat="1" ht="14.25" customHeight="1" x14ac:dyDescent="0.3"/>
    <row r="878" s="7" customFormat="1" ht="14.25" customHeight="1" x14ac:dyDescent="0.3"/>
    <row r="879" s="7" customFormat="1" ht="14.25" customHeight="1" x14ac:dyDescent="0.3"/>
    <row r="880" s="7" customFormat="1" ht="14.25" customHeight="1" x14ac:dyDescent="0.3"/>
    <row r="881" s="7" customFormat="1" ht="14.25" customHeight="1" x14ac:dyDescent="0.3"/>
    <row r="882" s="7" customFormat="1" ht="14.25" customHeight="1" x14ac:dyDescent="0.3"/>
    <row r="883" s="7" customFormat="1" ht="14.25" customHeight="1" x14ac:dyDescent="0.3"/>
    <row r="884" s="7" customFormat="1" ht="14.25" customHeight="1" x14ac:dyDescent="0.3"/>
    <row r="885" s="7" customFormat="1" ht="14.25" customHeight="1" x14ac:dyDescent="0.3"/>
    <row r="886" s="7" customFormat="1" ht="14.25" customHeight="1" x14ac:dyDescent="0.3"/>
    <row r="887" s="7" customFormat="1" ht="14.25" customHeight="1" x14ac:dyDescent="0.3"/>
    <row r="888" s="7" customFormat="1" ht="14.25" customHeight="1" x14ac:dyDescent="0.3"/>
    <row r="889" s="7" customFormat="1" ht="14.25" customHeight="1" x14ac:dyDescent="0.3"/>
    <row r="890" s="7" customFormat="1" ht="14.25" customHeight="1" x14ac:dyDescent="0.3"/>
    <row r="891" s="7" customFormat="1" ht="14.25" customHeight="1" x14ac:dyDescent="0.3"/>
    <row r="892" s="7" customFormat="1" ht="14.25" customHeight="1" x14ac:dyDescent="0.3"/>
    <row r="893" s="7" customFormat="1" ht="14.25" customHeight="1" x14ac:dyDescent="0.3"/>
    <row r="894" s="7" customFormat="1" ht="14.25" customHeight="1" x14ac:dyDescent="0.3"/>
    <row r="895" s="7" customFormat="1" ht="14.25" customHeight="1" x14ac:dyDescent="0.3"/>
    <row r="896" s="7" customFormat="1" ht="14.25" customHeight="1" x14ac:dyDescent="0.3"/>
    <row r="897" s="7" customFormat="1" ht="14.25" customHeight="1" x14ac:dyDescent="0.3"/>
    <row r="898" s="7" customFormat="1" ht="14.25" customHeight="1" x14ac:dyDescent="0.3"/>
    <row r="899" s="7" customFormat="1" ht="14.25" customHeight="1" x14ac:dyDescent="0.3"/>
    <row r="900" s="7" customFormat="1" ht="14.25" customHeight="1" x14ac:dyDescent="0.3"/>
    <row r="901" s="7" customFormat="1" ht="14.25" customHeight="1" x14ac:dyDescent="0.3"/>
    <row r="902" s="7" customFormat="1" ht="14.25" customHeight="1" x14ac:dyDescent="0.3"/>
    <row r="903" s="7" customFormat="1" ht="14.25" customHeight="1" x14ac:dyDescent="0.3"/>
    <row r="904" s="7" customFormat="1" ht="14.25" customHeight="1" x14ac:dyDescent="0.3"/>
    <row r="905" s="7" customFormat="1" ht="14.25" customHeight="1" x14ac:dyDescent="0.3"/>
    <row r="906" s="7" customFormat="1" ht="14.25" customHeight="1" x14ac:dyDescent="0.3"/>
    <row r="907" s="7" customFormat="1" ht="14.25" customHeight="1" x14ac:dyDescent="0.3"/>
    <row r="908" s="7" customFormat="1" ht="14.25" customHeight="1" x14ac:dyDescent="0.3"/>
    <row r="909" s="7" customFormat="1" ht="14.25" customHeight="1" x14ac:dyDescent="0.3"/>
    <row r="910" s="7" customFormat="1" ht="14.25" customHeight="1" x14ac:dyDescent="0.3"/>
    <row r="911" s="7" customFormat="1" ht="14.25" customHeight="1" x14ac:dyDescent="0.3"/>
    <row r="912" s="7" customFormat="1" ht="14.25" customHeight="1" x14ac:dyDescent="0.3"/>
    <row r="913" s="7" customFormat="1" ht="14.25" customHeight="1" x14ac:dyDescent="0.3"/>
    <row r="914" s="7" customFormat="1" ht="14.25" customHeight="1" x14ac:dyDescent="0.3"/>
    <row r="915" s="7" customFormat="1" ht="14.25" customHeight="1" x14ac:dyDescent="0.3"/>
    <row r="916" s="7" customFormat="1" ht="14.25" customHeight="1" x14ac:dyDescent="0.3"/>
    <row r="917" s="7" customFormat="1" ht="14.25" customHeight="1" x14ac:dyDescent="0.3"/>
    <row r="918" s="7" customFormat="1" ht="14.25" customHeight="1" x14ac:dyDescent="0.3"/>
    <row r="919" s="7" customFormat="1" ht="14.25" customHeight="1" x14ac:dyDescent="0.3"/>
    <row r="920" s="7" customFormat="1" ht="14.25" customHeight="1" x14ac:dyDescent="0.3"/>
    <row r="921" s="7" customFormat="1" ht="14.25" customHeight="1" x14ac:dyDescent="0.3"/>
    <row r="922" s="7" customFormat="1" ht="14.25" customHeight="1" x14ac:dyDescent="0.3"/>
    <row r="923" s="7" customFormat="1" ht="14.25" customHeight="1" x14ac:dyDescent="0.3"/>
    <row r="924" s="7" customFormat="1" ht="14.25" customHeight="1" x14ac:dyDescent="0.3"/>
    <row r="925" s="7" customFormat="1" ht="14.25" customHeight="1" x14ac:dyDescent="0.3"/>
    <row r="926" s="7" customFormat="1" ht="14.25" customHeight="1" x14ac:dyDescent="0.3"/>
    <row r="927" s="7" customFormat="1" ht="14.25" customHeight="1" x14ac:dyDescent="0.3"/>
    <row r="928" s="7" customFormat="1" ht="14.25" customHeight="1" x14ac:dyDescent="0.3"/>
    <row r="929" s="7" customFormat="1" ht="14.25" customHeight="1" x14ac:dyDescent="0.3"/>
    <row r="930" s="7" customFormat="1" ht="14.25" customHeight="1" x14ac:dyDescent="0.3"/>
    <row r="931" s="7" customFormat="1" ht="14.25" customHeight="1" x14ac:dyDescent="0.3"/>
    <row r="932" s="7" customFormat="1" ht="14.25" customHeight="1" x14ac:dyDescent="0.3"/>
    <row r="933" s="7" customFormat="1" ht="14.25" customHeight="1" x14ac:dyDescent="0.3"/>
    <row r="934" s="7" customFormat="1" ht="14.25" customHeight="1" x14ac:dyDescent="0.3"/>
    <row r="935" s="7" customFormat="1" ht="14.25" customHeight="1" x14ac:dyDescent="0.3"/>
    <row r="936" s="7" customFormat="1" ht="14.25" customHeight="1" x14ac:dyDescent="0.3"/>
    <row r="937" s="7" customFormat="1" ht="14.25" customHeight="1" x14ac:dyDescent="0.3"/>
    <row r="938" s="7" customFormat="1" ht="14.25" customHeight="1" x14ac:dyDescent="0.3"/>
    <row r="939" s="7" customFormat="1" ht="14.25" customHeight="1" x14ac:dyDescent="0.3"/>
    <row r="940" s="7" customFormat="1" ht="14.25" customHeight="1" x14ac:dyDescent="0.3"/>
    <row r="941" s="7" customFormat="1" ht="14.25" customHeight="1" x14ac:dyDescent="0.3"/>
    <row r="942" s="7" customFormat="1" ht="14.25" customHeight="1" x14ac:dyDescent="0.3"/>
    <row r="943" s="7" customFormat="1" ht="14.25" customHeight="1" x14ac:dyDescent="0.3"/>
    <row r="944" s="7" customFormat="1" ht="14.25" customHeight="1" x14ac:dyDescent="0.3"/>
    <row r="945" s="7" customFormat="1" ht="14.25" customHeight="1" x14ac:dyDescent="0.3"/>
    <row r="946" s="7" customFormat="1" ht="14.25" customHeight="1" x14ac:dyDescent="0.3"/>
    <row r="947" s="7" customFormat="1" ht="14.25" customHeight="1" x14ac:dyDescent="0.3"/>
    <row r="948" s="7" customFormat="1" ht="14.25" customHeight="1" x14ac:dyDescent="0.3"/>
    <row r="949" s="7" customFormat="1" ht="14.25" customHeight="1" x14ac:dyDescent="0.3"/>
    <row r="950" s="7" customFormat="1" ht="14.25" customHeight="1" x14ac:dyDescent="0.3"/>
    <row r="951" s="7" customFormat="1" ht="14.25" customHeight="1" x14ac:dyDescent="0.3"/>
    <row r="952" s="7" customFormat="1" ht="14.25" customHeight="1" x14ac:dyDescent="0.3"/>
    <row r="953" s="7" customFormat="1" ht="14.25" customHeight="1" x14ac:dyDescent="0.3"/>
    <row r="954" s="7" customFormat="1" ht="14.25" customHeight="1" x14ac:dyDescent="0.3"/>
    <row r="955" s="7" customFormat="1" ht="14.25" customHeight="1" x14ac:dyDescent="0.3"/>
    <row r="956" s="7" customFormat="1" ht="14.25" customHeight="1" x14ac:dyDescent="0.3"/>
    <row r="957" s="7" customFormat="1" ht="14.25" customHeight="1" x14ac:dyDescent="0.3"/>
    <row r="958" s="7" customFormat="1" ht="14.25" customHeight="1" x14ac:dyDescent="0.3"/>
    <row r="959" s="7" customFormat="1" ht="14.25" customHeight="1" x14ac:dyDescent="0.3"/>
    <row r="960" s="7" customFormat="1" ht="14.25" customHeight="1" x14ac:dyDescent="0.3"/>
    <row r="961" s="7" customFormat="1" ht="14.25" customHeight="1" x14ac:dyDescent="0.3"/>
    <row r="962" s="7" customFormat="1" ht="14.25" customHeight="1" x14ac:dyDescent="0.3"/>
    <row r="963" s="7" customFormat="1" ht="14.25" customHeight="1" x14ac:dyDescent="0.3"/>
    <row r="964" s="7" customFormat="1" ht="14.25" customHeight="1" x14ac:dyDescent="0.3"/>
    <row r="965" s="7" customFormat="1" ht="14.25" customHeight="1" x14ac:dyDescent="0.3"/>
    <row r="966" s="7" customFormat="1" ht="14.25" customHeight="1" x14ac:dyDescent="0.3"/>
    <row r="967" s="7" customFormat="1" ht="14.25" customHeight="1" x14ac:dyDescent="0.3"/>
    <row r="968" s="7" customFormat="1" ht="14.25" customHeight="1" x14ac:dyDescent="0.3"/>
    <row r="969" s="7" customFormat="1" ht="14.25" customHeight="1" x14ac:dyDescent="0.3"/>
    <row r="970" s="7" customFormat="1" ht="14.25" customHeight="1" x14ac:dyDescent="0.3"/>
    <row r="971" s="7" customFormat="1" ht="14.25" customHeight="1" x14ac:dyDescent="0.3"/>
    <row r="972" s="7" customFormat="1" ht="14.25" customHeight="1" x14ac:dyDescent="0.3"/>
    <row r="973" s="7" customFormat="1" ht="14.25" customHeight="1" x14ac:dyDescent="0.3"/>
    <row r="974" s="7" customFormat="1" ht="14.25" customHeight="1" x14ac:dyDescent="0.3"/>
    <row r="975" s="7" customFormat="1" ht="14.25" customHeight="1" x14ac:dyDescent="0.3"/>
    <row r="976" s="7" customFormat="1" ht="14.25" customHeight="1" x14ac:dyDescent="0.3"/>
    <row r="977" s="7" customFormat="1" ht="14.25" customHeight="1" x14ac:dyDescent="0.3"/>
    <row r="978" s="7" customFormat="1" ht="14.25" customHeight="1" x14ac:dyDescent="0.3"/>
    <row r="979" s="7" customFormat="1" ht="14.25" customHeight="1" x14ac:dyDescent="0.3"/>
    <row r="980" s="7" customFormat="1" ht="14.25" customHeight="1" x14ac:dyDescent="0.3"/>
    <row r="981" s="7" customFormat="1" ht="14.25" customHeight="1" x14ac:dyDescent="0.3"/>
    <row r="982" s="7" customFormat="1" ht="14.25" customHeight="1" x14ac:dyDescent="0.3"/>
    <row r="983" s="7" customFormat="1" ht="14.25" customHeight="1" x14ac:dyDescent="0.3"/>
    <row r="984" s="7" customFormat="1" ht="14.25" customHeight="1" x14ac:dyDescent="0.3"/>
    <row r="985" s="7" customFormat="1" ht="14.25" customHeight="1" x14ac:dyDescent="0.3"/>
    <row r="986" s="7" customFormat="1" ht="14.25" customHeight="1" x14ac:dyDescent="0.3"/>
    <row r="987" s="7" customFormat="1" ht="14.25" customHeight="1" x14ac:dyDescent="0.3"/>
    <row r="988" s="7" customFormat="1" ht="14.25" customHeight="1" x14ac:dyDescent="0.3"/>
    <row r="989" s="7" customFormat="1" ht="14.25" customHeight="1" x14ac:dyDescent="0.3"/>
    <row r="990" s="7" customFormat="1" ht="14.25" customHeight="1" x14ac:dyDescent="0.3"/>
    <row r="991" s="7" customFormat="1" ht="14.25" customHeight="1" x14ac:dyDescent="0.3"/>
    <row r="992" s="7" customFormat="1" ht="14.25" customHeight="1" x14ac:dyDescent="0.3"/>
    <row r="993" s="7" customFormat="1" ht="14.25" customHeight="1" x14ac:dyDescent="0.3"/>
    <row r="994" s="7" customFormat="1" ht="14.25" customHeight="1" x14ac:dyDescent="0.3"/>
    <row r="995" s="7" customFormat="1" ht="14.25" customHeight="1" x14ac:dyDescent="0.3"/>
    <row r="996" s="7" customFormat="1" ht="14.25" customHeight="1" x14ac:dyDescent="0.3"/>
    <row r="997" s="7" customFormat="1" ht="14.25" customHeight="1" x14ac:dyDescent="0.3"/>
    <row r="998" s="7" customFormat="1" ht="14.25" customHeight="1" x14ac:dyDescent="0.3"/>
    <row r="999" s="7" customFormat="1" ht="14.25" customHeight="1" x14ac:dyDescent="0.3"/>
    <row r="1000" s="7" customFormat="1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1"/>
  <sheetViews>
    <sheetView topLeftCell="A12" workbookViewId="0">
      <pane xSplit="1" topLeftCell="B1" activePane="topRight" state="frozen"/>
      <selection pane="topRight" activeCell="D34" sqref="A1:XFD1048576"/>
    </sheetView>
  </sheetViews>
  <sheetFormatPr defaultColWidth="14.44140625" defaultRowHeight="15" customHeight="1" x14ac:dyDescent="0.3"/>
  <cols>
    <col min="1" max="1" width="25" style="7" customWidth="1"/>
    <col min="2" max="14" width="20.5546875" style="7" customWidth="1"/>
    <col min="15" max="26" width="8.6640625" style="7" customWidth="1"/>
    <col min="27" max="16384" width="14.44140625" style="7"/>
  </cols>
  <sheetData>
    <row r="1" spans="1:16" ht="14.25" customHeight="1" x14ac:dyDescent="0.3">
      <c r="A1" s="72"/>
      <c r="B1" s="72"/>
      <c r="C1" s="72"/>
      <c r="D1" s="72"/>
      <c r="E1" s="72"/>
      <c r="F1" s="72"/>
      <c r="G1" s="73"/>
      <c r="H1" s="73"/>
      <c r="I1" s="73" t="s">
        <v>132</v>
      </c>
    </row>
    <row r="2" spans="1:16" ht="14.25" customHeight="1" x14ac:dyDescent="0.3">
      <c r="A2" s="74" t="s">
        <v>133</v>
      </c>
      <c r="B2" s="72" t="s">
        <v>134</v>
      </c>
      <c r="C2" s="72" t="s">
        <v>135</v>
      </c>
      <c r="D2" s="72" t="s">
        <v>136</v>
      </c>
      <c r="E2" s="72" t="s">
        <v>137</v>
      </c>
      <c r="F2" s="72" t="s">
        <v>138</v>
      </c>
      <c r="J2" s="72" t="s">
        <v>107</v>
      </c>
      <c r="K2" s="72" t="s">
        <v>108</v>
      </c>
      <c r="L2" s="72" t="s">
        <v>109</v>
      </c>
      <c r="M2" s="72" t="s">
        <v>110</v>
      </c>
      <c r="N2" s="75">
        <v>2030</v>
      </c>
    </row>
    <row r="3" spans="1:16" ht="14.25" customHeight="1" x14ac:dyDescent="0.3">
      <c r="A3" s="22" t="s">
        <v>139</v>
      </c>
      <c r="B3" s="16">
        <v>1837734722430</v>
      </c>
      <c r="C3" s="16">
        <v>3535403580588</v>
      </c>
      <c r="D3" s="16">
        <v>4067897158962</v>
      </c>
      <c r="E3" s="16">
        <v>5635320312015</v>
      </c>
      <c r="F3" s="16">
        <v>6052017310330</v>
      </c>
      <c r="G3" s="17"/>
      <c r="H3" s="17"/>
      <c r="I3" s="17"/>
      <c r="J3" s="16">
        <f>'Drilling Service'!C81</f>
        <v>7274556620000</v>
      </c>
      <c r="K3" s="16">
        <f>'Drilling Service'!D81</f>
        <v>8714426345000</v>
      </c>
      <c r="L3" s="16">
        <f>'Drilling Service'!E81</f>
        <v>9869117350000</v>
      </c>
      <c r="M3" s="16">
        <f>'Drilling Service'!F81</f>
        <v>10678371161000</v>
      </c>
      <c r="N3" s="16">
        <f>'Drilling Service'!G81</f>
        <v>10986128722000</v>
      </c>
      <c r="P3" s="11"/>
    </row>
    <row r="4" spans="1:16" ht="14.25" customHeight="1" x14ac:dyDescent="0.3">
      <c r="A4" s="15" t="s">
        <v>140</v>
      </c>
      <c r="B4" s="76">
        <f>B3/'Historical Data'!B3</f>
        <v>0.45995435299764015</v>
      </c>
      <c r="C4" s="76">
        <f>C3/'Historical Data'!C3</f>
        <v>0.65089487029166904</v>
      </c>
      <c r="D4" s="76">
        <f>D3/'Historical Data'!D3</f>
        <v>0.70082840761720322</v>
      </c>
      <c r="E4" s="76">
        <f>E3/'Historical Data'!E3</f>
        <v>0.60672742554912784</v>
      </c>
      <c r="F4" s="76">
        <f>F3/'Historical Data'!F3</f>
        <v>0.55538435039456346</v>
      </c>
      <c r="G4" s="77"/>
      <c r="H4" s="77"/>
      <c r="I4" s="17"/>
      <c r="J4" s="22"/>
      <c r="K4" s="22"/>
      <c r="L4" s="22"/>
      <c r="M4" s="22"/>
      <c r="N4" s="22"/>
    </row>
    <row r="5" spans="1:16" ht="14.25" customHeight="1" x14ac:dyDescent="0.3">
      <c r="A5" s="22" t="s">
        <v>141</v>
      </c>
      <c r="B5" s="22"/>
      <c r="C5" s="78">
        <f t="shared" ref="C5:F5" si="0">(C3-B3)/B3</f>
        <v>0.92378341522176077</v>
      </c>
      <c r="D5" s="78">
        <f t="shared" si="0"/>
        <v>0.15061748008000742</v>
      </c>
      <c r="E5" s="78">
        <f t="shared" si="0"/>
        <v>0.38531533414009839</v>
      </c>
      <c r="F5" s="78">
        <f t="shared" si="0"/>
        <v>7.3943800040357111E-2</v>
      </c>
      <c r="G5" s="14"/>
      <c r="H5" s="14"/>
      <c r="I5" s="14"/>
      <c r="J5" s="53">
        <f>(J3-F3)/F3</f>
        <v>0.20200525659159727</v>
      </c>
      <c r="K5" s="53">
        <f t="shared" ref="K5:N5" si="1">(K3-J3)/J3</f>
        <v>0.19793230023687683</v>
      </c>
      <c r="L5" s="53">
        <f t="shared" si="1"/>
        <v>0.13250338683079432</v>
      </c>
      <c r="M5" s="53">
        <f t="shared" si="1"/>
        <v>8.1998600513145184E-2</v>
      </c>
      <c r="N5" s="53">
        <f t="shared" si="1"/>
        <v>2.8820646553662156E-2</v>
      </c>
    </row>
    <row r="6" spans="1:16" ht="14.25" customHeight="1" x14ac:dyDescent="0.3">
      <c r="A6" s="22" t="s">
        <v>142</v>
      </c>
      <c r="B6" s="16">
        <v>1835180033970</v>
      </c>
      <c r="C6" s="16">
        <v>3408806370904</v>
      </c>
      <c r="D6" s="16">
        <v>3204407818170</v>
      </c>
      <c r="E6" s="20">
        <v>4425686255586</v>
      </c>
      <c r="F6" s="16">
        <v>4847519368672</v>
      </c>
      <c r="G6" s="17"/>
      <c r="H6" s="17"/>
      <c r="I6" s="17"/>
      <c r="J6" s="16">
        <f>F6/6*6.5</f>
        <v>5251479316061.333</v>
      </c>
      <c r="K6" s="16">
        <f>J6/6.5*7.75</f>
        <v>6261379184534.666</v>
      </c>
      <c r="L6" s="16">
        <f>K6/7.75*7.75</f>
        <v>6261379184534.666</v>
      </c>
      <c r="M6" s="20">
        <f>L6*(1+5%)</f>
        <v>6574448143761.3994</v>
      </c>
      <c r="N6" s="16">
        <f>M6</f>
        <v>6574448143761.3994</v>
      </c>
    </row>
    <row r="7" spans="1:16" ht="14.25" customHeight="1" x14ac:dyDescent="0.3">
      <c r="A7" s="15" t="s">
        <v>143</v>
      </c>
      <c r="B7" s="76">
        <f t="shared" ref="B7:F7" si="2">B6/B3</f>
        <v>0.9986098709303256</v>
      </c>
      <c r="C7" s="76">
        <f t="shared" si="2"/>
        <v>0.96419158186660414</v>
      </c>
      <c r="D7" s="76">
        <f t="shared" si="2"/>
        <v>0.78773078397775043</v>
      </c>
      <c r="E7" s="76">
        <f t="shared" si="2"/>
        <v>0.78534777271667178</v>
      </c>
      <c r="F7" s="76">
        <f t="shared" si="2"/>
        <v>0.80097579370731808</v>
      </c>
      <c r="G7" s="77">
        <f>75%</f>
        <v>0.75</v>
      </c>
      <c r="H7" s="77"/>
      <c r="I7" s="17"/>
      <c r="J7" s="22"/>
      <c r="K7" s="22"/>
      <c r="L7" s="22"/>
      <c r="M7" s="22"/>
      <c r="N7" s="22"/>
    </row>
    <row r="8" spans="1:16" ht="14.25" customHeight="1" x14ac:dyDescent="0.3">
      <c r="A8" s="22" t="s">
        <v>10</v>
      </c>
      <c r="B8" s="16">
        <v>2554688460</v>
      </c>
      <c r="C8" s="16">
        <v>126597209684</v>
      </c>
      <c r="D8" s="16">
        <v>863489340792</v>
      </c>
      <c r="E8" s="16">
        <v>1209634056429</v>
      </c>
      <c r="F8" s="16">
        <v>1204497941658</v>
      </c>
      <c r="G8" s="17"/>
      <c r="H8" s="17"/>
      <c r="I8" s="17"/>
      <c r="J8" s="16">
        <f t="shared" ref="J8:N8" si="3">J3-J6</f>
        <v>2023077303938.667</v>
      </c>
      <c r="K8" s="16">
        <f t="shared" si="3"/>
        <v>2453047160465.334</v>
      </c>
      <c r="L8" s="16">
        <f t="shared" si="3"/>
        <v>3607738165465.334</v>
      </c>
      <c r="M8" s="16">
        <f t="shared" si="3"/>
        <v>4103923017238.6006</v>
      </c>
      <c r="N8" s="16">
        <f t="shared" si="3"/>
        <v>4411680578238.6006</v>
      </c>
    </row>
    <row r="9" spans="1:16" ht="14.25" customHeight="1" x14ac:dyDescent="0.3">
      <c r="A9" s="22" t="s">
        <v>144</v>
      </c>
      <c r="B9" s="78"/>
      <c r="C9" s="78"/>
      <c r="D9" s="78"/>
      <c r="E9" s="78"/>
      <c r="F9" s="78"/>
      <c r="G9" s="14"/>
      <c r="H9" s="14"/>
      <c r="I9" s="14"/>
      <c r="J9" s="22"/>
      <c r="K9" s="22"/>
      <c r="L9" s="22"/>
      <c r="M9" s="22"/>
      <c r="N9" s="22"/>
    </row>
    <row r="10" spans="1:16" ht="14.25" customHeight="1" x14ac:dyDescent="0.3"/>
    <row r="11" spans="1:16" ht="14.25" customHeight="1" x14ac:dyDescent="0.3">
      <c r="A11" s="74" t="s">
        <v>145</v>
      </c>
      <c r="B11" s="72" t="s">
        <v>134</v>
      </c>
      <c r="C11" s="72" t="s">
        <v>135</v>
      </c>
      <c r="D11" s="72" t="s">
        <v>136</v>
      </c>
      <c r="E11" s="72" t="s">
        <v>137</v>
      </c>
      <c r="F11" s="72" t="s">
        <v>138</v>
      </c>
      <c r="G11" s="73"/>
      <c r="H11" s="73"/>
      <c r="I11" s="73"/>
      <c r="J11" s="72" t="s">
        <v>107</v>
      </c>
      <c r="K11" s="79" t="s">
        <v>108</v>
      </c>
      <c r="L11" s="72" t="s">
        <v>109</v>
      </c>
      <c r="M11" s="72" t="s">
        <v>110</v>
      </c>
      <c r="N11" s="75">
        <v>2030</v>
      </c>
    </row>
    <row r="12" spans="1:16" ht="14.25" customHeight="1" x14ac:dyDescent="0.3">
      <c r="A12" s="22" t="s">
        <v>139</v>
      </c>
      <c r="B12" s="16">
        <v>495288090110</v>
      </c>
      <c r="C12" s="16">
        <v>114863242736</v>
      </c>
      <c r="D12" s="16">
        <v>157142368266</v>
      </c>
      <c r="E12" s="16">
        <v>1207086301149</v>
      </c>
      <c r="F12" s="16">
        <v>617651216604</v>
      </c>
      <c r="G12" s="24"/>
      <c r="H12" s="17"/>
      <c r="I12" s="17"/>
      <c r="J12" s="54">
        <f>F12*(1+30%)</f>
        <v>802946581585.20007</v>
      </c>
      <c r="K12" s="80">
        <f>J12*(1+30%)</f>
        <v>1043830556060.7601</v>
      </c>
      <c r="L12" s="80">
        <f>F12*(1+5%)</f>
        <v>648533777434.20007</v>
      </c>
      <c r="M12" s="80">
        <f t="shared" ref="M12:N12" si="4">L12*(1+5%)</f>
        <v>680960466305.91016</v>
      </c>
      <c r="N12" s="80">
        <f t="shared" si="4"/>
        <v>715008489621.20569</v>
      </c>
    </row>
    <row r="13" spans="1:16" ht="14.25" customHeight="1" x14ac:dyDescent="0.3">
      <c r="A13" s="22" t="s">
        <v>146</v>
      </c>
      <c r="B13" s="76">
        <f>B12/'Historical Data'!B3</f>
        <v>0.1239623490014671</v>
      </c>
      <c r="C13" s="76">
        <f>C12/'Historical Data'!C3</f>
        <v>2.1147202512448286E-2</v>
      </c>
      <c r="D13" s="76">
        <f>D12/'Historical Data'!D3</f>
        <v>2.7072915419808351E-2</v>
      </c>
      <c r="E13" s="76">
        <f>E12/'Historical Data'!E3</f>
        <v>0.12996108887551069</v>
      </c>
      <c r="F13" s="76">
        <f>F12/'Historical Data'!F3</f>
        <v>5.6680905244357219E-2</v>
      </c>
      <c r="G13" s="77">
        <f>AVERAGE(B13:F13)</f>
        <v>7.1764892210718328E-2</v>
      </c>
      <c r="H13" s="77"/>
      <c r="I13" s="17"/>
      <c r="J13" s="22"/>
      <c r="K13" s="81"/>
      <c r="L13" s="22"/>
      <c r="M13" s="22"/>
      <c r="N13" s="22"/>
    </row>
    <row r="14" spans="1:16" ht="14.25" customHeight="1" x14ac:dyDescent="0.3">
      <c r="A14" s="22" t="s">
        <v>141</v>
      </c>
      <c r="B14" s="22"/>
      <c r="C14" s="78">
        <f t="shared" ref="C14:F14" si="5">(C12-B12)/B12</f>
        <v>-0.76808801780295244</v>
      </c>
      <c r="D14" s="78">
        <f t="shared" si="5"/>
        <v>0.36808229093073513</v>
      </c>
      <c r="E14" s="78">
        <f t="shared" si="5"/>
        <v>6.6814821773955053</v>
      </c>
      <c r="F14" s="78">
        <f t="shared" si="5"/>
        <v>-0.48831229712732982</v>
      </c>
      <c r="G14" s="14"/>
      <c r="H14" s="14"/>
      <c r="I14" s="14"/>
      <c r="J14" s="22"/>
      <c r="K14" s="81"/>
      <c r="L14" s="22"/>
      <c r="M14" s="22"/>
      <c r="N14" s="22"/>
    </row>
    <row r="15" spans="1:16" ht="14.25" customHeight="1" x14ac:dyDescent="0.3">
      <c r="A15" s="22" t="s">
        <v>142</v>
      </c>
      <c r="B15" s="16">
        <v>463541343165</v>
      </c>
      <c r="C15" s="16">
        <v>86903506360</v>
      </c>
      <c r="D15" s="16">
        <v>144759187677</v>
      </c>
      <c r="E15" s="20">
        <v>1163229831462</v>
      </c>
      <c r="F15" s="16">
        <v>573801413642</v>
      </c>
      <c r="G15" s="17"/>
      <c r="H15" s="17"/>
      <c r="I15" s="17"/>
      <c r="J15" s="54">
        <f t="shared" ref="J15:N15" si="6">J12*$G$16</f>
        <v>745941837734.6001</v>
      </c>
      <c r="K15" s="54">
        <f t="shared" si="6"/>
        <v>969724389054.9801</v>
      </c>
      <c r="L15" s="54">
        <f t="shared" si="6"/>
        <v>602491484324.1001</v>
      </c>
      <c r="M15" s="54">
        <f t="shared" si="6"/>
        <v>632616058540.30518</v>
      </c>
      <c r="N15" s="54">
        <f t="shared" si="6"/>
        <v>664246861467.32043</v>
      </c>
    </row>
    <row r="16" spans="1:16" ht="14.25" customHeight="1" x14ac:dyDescent="0.3">
      <c r="A16" s="15" t="s">
        <v>143</v>
      </c>
      <c r="B16" s="76">
        <f t="shared" ref="B16:F16" si="7">B15/B12</f>
        <v>0.93590246246795628</v>
      </c>
      <c r="C16" s="76">
        <f t="shared" si="7"/>
        <v>0.75658238693241275</v>
      </c>
      <c r="D16" s="76">
        <f t="shared" si="7"/>
        <v>0.92119769654967532</v>
      </c>
      <c r="E16" s="76">
        <f t="shared" si="7"/>
        <v>0.96366749449044864</v>
      </c>
      <c r="F16" s="76">
        <f t="shared" si="7"/>
        <v>0.92900555882801117</v>
      </c>
      <c r="G16" s="21">
        <f>MEDIAN(B16:F16)</f>
        <v>0.92900555882801117</v>
      </c>
      <c r="H16" s="21"/>
      <c r="I16" s="17"/>
      <c r="J16" s="22"/>
      <c r="K16" s="81"/>
      <c r="L16" s="22"/>
      <c r="M16" s="22"/>
      <c r="N16" s="22"/>
    </row>
    <row r="17" spans="1:14" ht="14.25" customHeight="1" x14ac:dyDescent="0.3">
      <c r="A17" s="22" t="s">
        <v>10</v>
      </c>
      <c r="B17" s="16">
        <v>31746746945</v>
      </c>
      <c r="C17" s="16">
        <v>27959736376</v>
      </c>
      <c r="D17" s="16">
        <v>12383180589</v>
      </c>
      <c r="E17" s="16">
        <v>43856469687</v>
      </c>
      <c r="F17" s="16">
        <v>43849802962</v>
      </c>
      <c r="G17" s="17"/>
      <c r="H17" s="17"/>
      <c r="I17" s="17"/>
      <c r="J17" s="54">
        <f t="shared" ref="J17:N17" si="8">J12-J15</f>
        <v>57004743850.599976</v>
      </c>
      <c r="K17" s="54">
        <f t="shared" si="8"/>
        <v>74106167005.780029</v>
      </c>
      <c r="L17" s="54">
        <f t="shared" si="8"/>
        <v>46042293110.099976</v>
      </c>
      <c r="M17" s="54">
        <f t="shared" si="8"/>
        <v>48344407765.60498</v>
      </c>
      <c r="N17" s="54">
        <f t="shared" si="8"/>
        <v>50761628153.885254</v>
      </c>
    </row>
    <row r="18" spans="1:14" ht="14.25" customHeight="1" x14ac:dyDescent="0.3">
      <c r="A18" s="22" t="s">
        <v>144</v>
      </c>
      <c r="B18" s="78"/>
      <c r="C18" s="78"/>
      <c r="D18" s="78"/>
      <c r="E18" s="78"/>
      <c r="F18" s="78"/>
      <c r="G18" s="14"/>
      <c r="H18" s="14"/>
      <c r="I18" s="14"/>
      <c r="J18" s="22"/>
      <c r="K18" s="81"/>
      <c r="L18" s="22"/>
      <c r="M18" s="22"/>
      <c r="N18" s="22"/>
    </row>
    <row r="19" spans="1:14" ht="14.25" customHeight="1" x14ac:dyDescent="0.3">
      <c r="J19" s="22"/>
    </row>
    <row r="20" spans="1:14" ht="14.25" customHeight="1" x14ac:dyDescent="0.3">
      <c r="A20" s="74" t="s">
        <v>147</v>
      </c>
      <c r="B20" s="72" t="s">
        <v>134</v>
      </c>
      <c r="C20" s="72" t="s">
        <v>135</v>
      </c>
      <c r="D20" s="72" t="s">
        <v>136</v>
      </c>
      <c r="E20" s="72" t="s">
        <v>137</v>
      </c>
      <c r="F20" s="72" t="s">
        <v>138</v>
      </c>
      <c r="G20" s="73"/>
      <c r="H20" s="73"/>
      <c r="I20" s="73"/>
      <c r="J20" s="72" t="s">
        <v>107</v>
      </c>
      <c r="K20" s="72" t="s">
        <v>108</v>
      </c>
      <c r="L20" s="72" t="s">
        <v>109</v>
      </c>
      <c r="M20" s="72" t="s">
        <v>110</v>
      </c>
      <c r="N20" s="75">
        <v>2030</v>
      </c>
    </row>
    <row r="21" spans="1:14" ht="14.25" customHeight="1" x14ac:dyDescent="0.3">
      <c r="A21" s="22" t="s">
        <v>139</v>
      </c>
      <c r="B21" s="16">
        <v>1662449152130</v>
      </c>
      <c r="C21" s="16">
        <v>1781337790496</v>
      </c>
      <c r="D21" s="16">
        <v>1579372957695</v>
      </c>
      <c r="E21" s="16">
        <v>2445652694382</v>
      </c>
      <c r="F21" s="16">
        <v>4227320749106</v>
      </c>
      <c r="G21" s="17"/>
      <c r="H21" s="17"/>
      <c r="I21" s="17"/>
      <c r="J21" s="54">
        <f t="shared" ref="J21:N21" si="9">$G$24*J3</f>
        <v>4261744925142.3818</v>
      </c>
      <c r="K21" s="54">
        <f t="shared" si="9"/>
        <v>5105281901198.6504</v>
      </c>
      <c r="L21" s="54">
        <f t="shared" si="9"/>
        <v>5781749043833.4277</v>
      </c>
      <c r="M21" s="54">
        <f t="shared" si="9"/>
        <v>6255844373945.9844</v>
      </c>
      <c r="N21" s="54">
        <f t="shared" si="9"/>
        <v>6436141853542.1973</v>
      </c>
    </row>
    <row r="22" spans="1:14" ht="14.25" customHeight="1" x14ac:dyDescent="0.3">
      <c r="A22" s="22" t="s">
        <v>146</v>
      </c>
      <c r="B22" s="76">
        <f>B21/'Historical Data'!B3</f>
        <v>0.41608329800089272</v>
      </c>
      <c r="C22" s="76">
        <f>C21/'Historical Data'!C3</f>
        <v>0.32795792719588268</v>
      </c>
      <c r="D22" s="76">
        <f>D21/'Historical Data'!D3</f>
        <v>0.2720986769629884</v>
      </c>
      <c r="E22" s="76">
        <f>E21/'Historical Data'!E3</f>
        <v>0.26331148557536144</v>
      </c>
      <c r="F22" s="76">
        <f>F21/'Historical Data'!F3</f>
        <v>0.38793474436107928</v>
      </c>
      <c r="G22" s="77">
        <v>0.3</v>
      </c>
      <c r="H22" s="77"/>
      <c r="I22" s="17"/>
      <c r="J22" s="22"/>
      <c r="K22" s="22"/>
      <c r="L22" s="22"/>
      <c r="M22" s="22"/>
      <c r="N22" s="22"/>
    </row>
    <row r="23" spans="1:14" ht="14.25" customHeight="1" x14ac:dyDescent="0.3">
      <c r="A23" s="22" t="s">
        <v>141</v>
      </c>
      <c r="B23" s="22"/>
      <c r="C23" s="78">
        <f t="shared" ref="C23:F23" si="10">(C21-B21)/B21</f>
        <v>7.1514150200428603E-2</v>
      </c>
      <c r="D23" s="78">
        <f t="shared" si="10"/>
        <v>-0.11337817783833375</v>
      </c>
      <c r="E23" s="78">
        <f t="shared" si="10"/>
        <v>0.54849599169488328</v>
      </c>
      <c r="F23" s="78">
        <f t="shared" si="10"/>
        <v>0.72850411622906885</v>
      </c>
      <c r="G23" s="14"/>
      <c r="H23" s="14"/>
      <c r="I23" s="14"/>
      <c r="J23" s="53"/>
      <c r="K23" s="53"/>
      <c r="L23" s="53"/>
      <c r="M23" s="53"/>
      <c r="N23" s="53"/>
    </row>
    <row r="24" spans="1:14" ht="14.25" customHeight="1" x14ac:dyDescent="0.3">
      <c r="A24" s="22" t="s">
        <v>148</v>
      </c>
      <c r="B24" s="19">
        <f t="shared" ref="B24:F24" si="11">B21/B3</f>
        <v>0.90461867637336502</v>
      </c>
      <c r="C24" s="19">
        <f t="shared" si="11"/>
        <v>0.50385698545899305</v>
      </c>
      <c r="D24" s="19">
        <f t="shared" si="11"/>
        <v>0.38825292183591154</v>
      </c>
      <c r="E24" s="19">
        <f t="shared" si="11"/>
        <v>0.43398645666469976</v>
      </c>
      <c r="F24" s="19">
        <f t="shared" si="11"/>
        <v>0.6984977954194741</v>
      </c>
      <c r="G24" s="21">
        <f>AVERAGE(B24:F24)</f>
        <v>0.58584256715048866</v>
      </c>
      <c r="H24" s="21"/>
      <c r="I24" s="17"/>
      <c r="J24" s="54"/>
      <c r="K24" s="54"/>
      <c r="L24" s="54"/>
      <c r="M24" s="54"/>
      <c r="N24" s="54"/>
    </row>
    <row r="25" spans="1:14" ht="14.25" customHeight="1" x14ac:dyDescent="0.3">
      <c r="A25" s="22" t="s">
        <v>142</v>
      </c>
      <c r="B25" s="16">
        <v>1325510141170</v>
      </c>
      <c r="C25" s="16">
        <v>1358467406164</v>
      </c>
      <c r="D25" s="16">
        <v>1149751873764</v>
      </c>
      <c r="E25" s="20">
        <v>1944966424596</v>
      </c>
      <c r="F25" s="16">
        <v>3397787936548</v>
      </c>
      <c r="G25" s="17"/>
      <c r="H25" s="17"/>
      <c r="I25" s="17"/>
      <c r="J25" s="54">
        <f t="shared" ref="J25:N25" si="12">J21*$G$26</f>
        <v>3409395940113.9058</v>
      </c>
      <c r="K25" s="54">
        <f t="shared" si="12"/>
        <v>4084225520958.9204</v>
      </c>
      <c r="L25" s="54">
        <f t="shared" si="12"/>
        <v>4625399235066.7422</v>
      </c>
      <c r="M25" s="54">
        <f t="shared" si="12"/>
        <v>5004675499156.7881</v>
      </c>
      <c r="N25" s="54">
        <f t="shared" si="12"/>
        <v>5148913482833.7578</v>
      </c>
    </row>
    <row r="26" spans="1:14" ht="14.25" customHeight="1" x14ac:dyDescent="0.3">
      <c r="A26" s="15" t="s">
        <v>143</v>
      </c>
      <c r="B26" s="19">
        <f t="shared" ref="B26:F26" si="13">B25/B21</f>
        <v>0.79732371932801704</v>
      </c>
      <c r="C26" s="19">
        <f t="shared" si="13"/>
        <v>0.7626107824197369</v>
      </c>
      <c r="D26" s="19">
        <f t="shared" si="13"/>
        <v>0.72797996708896029</v>
      </c>
      <c r="E26" s="19">
        <f t="shared" si="13"/>
        <v>0.79527499103362265</v>
      </c>
      <c r="F26" s="19">
        <f t="shared" si="13"/>
        <v>0.80376866062660823</v>
      </c>
      <c r="G26" s="21">
        <v>0.8</v>
      </c>
      <c r="H26" s="17"/>
      <c r="I26" s="17"/>
      <c r="J26" s="54"/>
      <c r="K26" s="54"/>
      <c r="L26" s="54"/>
      <c r="M26" s="54"/>
      <c r="N26" s="54"/>
    </row>
    <row r="27" spans="1:14" ht="14.25" customHeight="1" x14ac:dyDescent="0.3">
      <c r="A27" s="22" t="s">
        <v>10</v>
      </c>
      <c r="B27" s="16">
        <v>336939010960</v>
      </c>
      <c r="C27" s="16">
        <v>422870384332</v>
      </c>
      <c r="D27" s="16">
        <v>429621083931</v>
      </c>
      <c r="E27" s="16">
        <v>500686269786</v>
      </c>
      <c r="F27" s="16">
        <v>829532812558</v>
      </c>
      <c r="G27" s="17"/>
      <c r="H27" s="17"/>
      <c r="I27" s="17"/>
      <c r="J27" s="54">
        <f t="shared" ref="J27:N27" si="14">J21-J25</f>
        <v>852348985028.47607</v>
      </c>
      <c r="K27" s="54">
        <f t="shared" si="14"/>
        <v>1021056380239.73</v>
      </c>
      <c r="L27" s="54">
        <f t="shared" si="14"/>
        <v>1156349808766.6855</v>
      </c>
      <c r="M27" s="54">
        <f t="shared" si="14"/>
        <v>1251168874789.1963</v>
      </c>
      <c r="N27" s="54">
        <f t="shared" si="14"/>
        <v>1287228370708.4395</v>
      </c>
    </row>
    <row r="28" spans="1:14" ht="14.25" customHeight="1" x14ac:dyDescent="0.3">
      <c r="A28" s="22" t="s">
        <v>144</v>
      </c>
      <c r="B28" s="78"/>
      <c r="C28" s="78"/>
      <c r="D28" s="78"/>
      <c r="E28" s="78"/>
      <c r="F28" s="78"/>
      <c r="G28" s="14"/>
      <c r="H28" s="14"/>
      <c r="I28" s="14"/>
      <c r="J28" s="22"/>
      <c r="K28" s="22"/>
      <c r="L28" s="22"/>
      <c r="M28" s="22"/>
      <c r="N28" s="22"/>
    </row>
    <row r="29" spans="1:14" ht="14.25" customHeight="1" x14ac:dyDescent="0.3"/>
    <row r="30" spans="1:14" ht="14.25" customHeight="1" x14ac:dyDescent="0.3">
      <c r="I30" s="22"/>
      <c r="J30" s="72" t="s">
        <v>107</v>
      </c>
      <c r="K30" s="72" t="s">
        <v>108</v>
      </c>
      <c r="L30" s="72" t="s">
        <v>109</v>
      </c>
      <c r="M30" s="72" t="s">
        <v>110</v>
      </c>
      <c r="N30" s="75">
        <v>2030</v>
      </c>
    </row>
    <row r="31" spans="1:14" ht="14.25" customHeight="1" x14ac:dyDescent="0.3">
      <c r="I31" s="22" t="s">
        <v>149</v>
      </c>
      <c r="J31" s="23">
        <f t="shared" ref="J31:N31" si="15">SUM(J3,J12,J21)</f>
        <v>12339248126727.582</v>
      </c>
      <c r="K31" s="23">
        <f t="shared" si="15"/>
        <v>14863538802259.41</v>
      </c>
      <c r="L31" s="23">
        <f t="shared" si="15"/>
        <v>16299400171267.627</v>
      </c>
      <c r="M31" s="23">
        <f t="shared" si="15"/>
        <v>17615176001251.895</v>
      </c>
      <c r="N31" s="23">
        <f t="shared" si="15"/>
        <v>18137279065163.402</v>
      </c>
    </row>
    <row r="32" spans="1:14" ht="14.25" customHeight="1" x14ac:dyDescent="0.3">
      <c r="I32" s="22" t="s">
        <v>142</v>
      </c>
      <c r="J32" s="23">
        <f t="shared" ref="J32:N32" si="16">SUM(J6,J15,J25)</f>
        <v>9406817093909.8398</v>
      </c>
      <c r="K32" s="23">
        <f t="shared" si="16"/>
        <v>11315329094548.566</v>
      </c>
      <c r="L32" s="23">
        <f t="shared" si="16"/>
        <v>11489269903925.508</v>
      </c>
      <c r="M32" s="23">
        <f t="shared" si="16"/>
        <v>12211739701458.492</v>
      </c>
      <c r="N32" s="23">
        <f t="shared" si="16"/>
        <v>12387608488062.477</v>
      </c>
    </row>
    <row r="33" spans="9:14" ht="14.25" customHeight="1" x14ac:dyDescent="0.3">
      <c r="I33" s="22" t="s">
        <v>10</v>
      </c>
      <c r="J33" s="23">
        <f t="shared" ref="J33:N33" si="17">SUM(J8,J17,J27)</f>
        <v>2932431032817.7432</v>
      </c>
      <c r="K33" s="23">
        <f t="shared" si="17"/>
        <v>3548209707710.8442</v>
      </c>
      <c r="L33" s="23">
        <f t="shared" si="17"/>
        <v>4810130267342.1191</v>
      </c>
      <c r="M33" s="23">
        <f t="shared" si="17"/>
        <v>5403436299793.4023</v>
      </c>
      <c r="N33" s="23">
        <f t="shared" si="17"/>
        <v>5749670577100.9258</v>
      </c>
    </row>
    <row r="34" spans="9:14" ht="14.25" customHeight="1" x14ac:dyDescent="0.3">
      <c r="J34" s="28"/>
      <c r="K34" s="28"/>
      <c r="L34" s="28"/>
      <c r="M34" s="28"/>
      <c r="N34" s="28"/>
    </row>
    <row r="35" spans="9:14" ht="14.25" customHeight="1" x14ac:dyDescent="0.3"/>
    <row r="36" spans="9:14" ht="14.25" customHeight="1" x14ac:dyDescent="0.3"/>
    <row r="37" spans="9:14" ht="14.25" customHeight="1" x14ac:dyDescent="0.3"/>
    <row r="38" spans="9:14" ht="14.25" customHeight="1" x14ac:dyDescent="0.3"/>
    <row r="39" spans="9:14" ht="14.25" customHeight="1" x14ac:dyDescent="0.3"/>
    <row r="40" spans="9:14" ht="14.25" customHeight="1" x14ac:dyDescent="0.3"/>
    <row r="41" spans="9:14" ht="14.25" customHeight="1" x14ac:dyDescent="0.3"/>
    <row r="42" spans="9:14" ht="14.25" customHeight="1" x14ac:dyDescent="0.3"/>
    <row r="43" spans="9:14" ht="14.25" customHeight="1" x14ac:dyDescent="0.3"/>
    <row r="44" spans="9:14" ht="14.25" customHeight="1" x14ac:dyDescent="0.3"/>
    <row r="45" spans="9:14" ht="14.25" customHeight="1" x14ac:dyDescent="0.3"/>
    <row r="46" spans="9:14" ht="14.25" customHeight="1" x14ac:dyDescent="0.3"/>
    <row r="47" spans="9:14" ht="14.25" customHeight="1" x14ac:dyDescent="0.3"/>
    <row r="48" spans="9:1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14"/>
  <sheetViews>
    <sheetView zoomScale="75" workbookViewId="0">
      <selection activeCell="H23" sqref="A1:XFD1048576"/>
    </sheetView>
  </sheetViews>
  <sheetFormatPr defaultColWidth="14.44140625" defaultRowHeight="15" customHeight="1" x14ac:dyDescent="0.3"/>
  <cols>
    <col min="1" max="1" width="35.6640625" style="7" customWidth="1"/>
    <col min="2" max="2" width="23.44140625" style="7" customWidth="1"/>
    <col min="3" max="7" width="20.5546875" style="7" customWidth="1"/>
    <col min="8" max="8" width="24.44140625" style="7" customWidth="1"/>
    <col min="9" max="9" width="18.109375" style="7" customWidth="1"/>
    <col min="10" max="26" width="9" style="7" customWidth="1"/>
    <col min="27" max="16384" width="14.44140625" style="7"/>
  </cols>
  <sheetData>
    <row r="1" spans="2:9" ht="14.25" customHeight="1" x14ac:dyDescent="0.3"/>
    <row r="2" spans="2:9" ht="14.25" customHeight="1" x14ac:dyDescent="0.3">
      <c r="B2" s="82" t="s">
        <v>150</v>
      </c>
      <c r="C2" s="83">
        <v>2026</v>
      </c>
      <c r="D2" s="83">
        <v>2027</v>
      </c>
      <c r="E2" s="83">
        <v>2028</v>
      </c>
      <c r="F2" s="83">
        <v>2029</v>
      </c>
      <c r="G2" s="83">
        <v>2030</v>
      </c>
    </row>
    <row r="3" spans="2:9" ht="14.25" customHeight="1" x14ac:dyDescent="0.3">
      <c r="B3" s="22" t="s">
        <v>151</v>
      </c>
      <c r="C3" s="54">
        <v>90000</v>
      </c>
      <c r="D3" s="54">
        <v>95000</v>
      </c>
      <c r="E3" s="54">
        <v>95000</v>
      </c>
      <c r="F3" s="54">
        <v>95000</v>
      </c>
      <c r="G3" s="54">
        <v>100000</v>
      </c>
      <c r="I3" s="7" t="s">
        <v>152</v>
      </c>
    </row>
    <row r="4" spans="2:9" ht="14.25" customHeight="1" x14ac:dyDescent="0.3">
      <c r="B4" s="22" t="s">
        <v>153</v>
      </c>
      <c r="C4" s="22"/>
      <c r="D4" s="22"/>
      <c r="E4" s="22"/>
      <c r="F4" s="22"/>
      <c r="G4" s="22"/>
      <c r="I4" s="25">
        <v>0.98</v>
      </c>
    </row>
    <row r="5" spans="2:9" ht="14.25" customHeight="1" x14ac:dyDescent="0.3">
      <c r="B5" s="22" t="s">
        <v>154</v>
      </c>
      <c r="C5" s="84">
        <f t="shared" ref="C5:G5" si="0">365*$I$4</f>
        <v>357.7</v>
      </c>
      <c r="D5" s="84">
        <f t="shared" si="0"/>
        <v>357.7</v>
      </c>
      <c r="E5" s="84">
        <f t="shared" si="0"/>
        <v>357.7</v>
      </c>
      <c r="F5" s="84">
        <f t="shared" si="0"/>
        <v>357.7</v>
      </c>
      <c r="G5" s="84">
        <f t="shared" si="0"/>
        <v>357.7</v>
      </c>
    </row>
    <row r="6" spans="2:9" ht="14.25" customHeight="1" x14ac:dyDescent="0.3">
      <c r="B6" s="22" t="s">
        <v>155</v>
      </c>
      <c r="C6" s="84">
        <f t="shared" ref="C6:G6" si="1">365-C5</f>
        <v>7.3000000000000114</v>
      </c>
      <c r="D6" s="84">
        <f t="shared" si="1"/>
        <v>7.3000000000000114</v>
      </c>
      <c r="E6" s="84">
        <f t="shared" si="1"/>
        <v>7.3000000000000114</v>
      </c>
      <c r="F6" s="84">
        <f t="shared" si="1"/>
        <v>7.3000000000000114</v>
      </c>
      <c r="G6" s="84">
        <f t="shared" si="1"/>
        <v>7.3000000000000114</v>
      </c>
    </row>
    <row r="7" spans="2:9" ht="14.25" customHeight="1" x14ac:dyDescent="0.3">
      <c r="B7" s="22" t="s">
        <v>139</v>
      </c>
      <c r="C7" s="54">
        <f t="shared" ref="C7:G7" si="2">C3*C5</f>
        <v>32193000</v>
      </c>
      <c r="D7" s="54">
        <f t="shared" si="2"/>
        <v>33981500</v>
      </c>
      <c r="E7" s="54">
        <f t="shared" si="2"/>
        <v>33981500</v>
      </c>
      <c r="F7" s="54">
        <f t="shared" si="2"/>
        <v>33981500</v>
      </c>
      <c r="G7" s="54">
        <f t="shared" si="2"/>
        <v>35770000</v>
      </c>
    </row>
    <row r="8" spans="2:9" ht="14.25" customHeight="1" x14ac:dyDescent="0.3"/>
    <row r="9" spans="2:9" ht="14.25" customHeight="1" x14ac:dyDescent="0.3">
      <c r="B9" s="82" t="s">
        <v>156</v>
      </c>
      <c r="C9" s="83">
        <v>2026</v>
      </c>
      <c r="D9" s="83">
        <v>2027</v>
      </c>
      <c r="E9" s="83">
        <v>2028</v>
      </c>
      <c r="F9" s="83">
        <v>2029</v>
      </c>
      <c r="G9" s="83">
        <v>2030</v>
      </c>
    </row>
    <row r="10" spans="2:9" ht="14.25" customHeight="1" x14ac:dyDescent="0.3">
      <c r="B10" s="22" t="s">
        <v>151</v>
      </c>
      <c r="C10" s="54">
        <v>90000</v>
      </c>
      <c r="D10" s="54">
        <v>90000</v>
      </c>
      <c r="E10" s="54">
        <v>90000</v>
      </c>
      <c r="F10" s="54">
        <v>95000</v>
      </c>
      <c r="G10" s="54">
        <v>100000</v>
      </c>
    </row>
    <row r="11" spans="2:9" ht="14.25" customHeight="1" x14ac:dyDescent="0.3">
      <c r="B11" s="22" t="s">
        <v>153</v>
      </c>
      <c r="C11" s="22"/>
      <c r="D11" s="22"/>
      <c r="E11" s="22"/>
      <c r="F11" s="22"/>
      <c r="G11" s="22"/>
    </row>
    <row r="12" spans="2:9" ht="14.25" customHeight="1" x14ac:dyDescent="0.3">
      <c r="B12" s="22" t="s">
        <v>154</v>
      </c>
      <c r="C12" s="84">
        <f t="shared" ref="C12:G12" si="3">C5</f>
        <v>357.7</v>
      </c>
      <c r="D12" s="84">
        <f t="shared" si="3"/>
        <v>357.7</v>
      </c>
      <c r="E12" s="84">
        <f t="shared" si="3"/>
        <v>357.7</v>
      </c>
      <c r="F12" s="84">
        <f t="shared" si="3"/>
        <v>357.7</v>
      </c>
      <c r="G12" s="84">
        <f t="shared" si="3"/>
        <v>357.7</v>
      </c>
    </row>
    <row r="13" spans="2:9" ht="14.25" customHeight="1" x14ac:dyDescent="0.3">
      <c r="B13" s="22" t="s">
        <v>155</v>
      </c>
      <c r="C13" s="84">
        <f t="shared" ref="C13:G13" si="4">365-C12</f>
        <v>7.3000000000000114</v>
      </c>
      <c r="D13" s="84">
        <f t="shared" si="4"/>
        <v>7.3000000000000114</v>
      </c>
      <c r="E13" s="84">
        <f t="shared" si="4"/>
        <v>7.3000000000000114</v>
      </c>
      <c r="F13" s="84">
        <f t="shared" si="4"/>
        <v>7.3000000000000114</v>
      </c>
      <c r="G13" s="84">
        <f t="shared" si="4"/>
        <v>7.3000000000000114</v>
      </c>
    </row>
    <row r="14" spans="2:9" ht="14.25" customHeight="1" x14ac:dyDescent="0.3">
      <c r="B14" s="22" t="s">
        <v>139</v>
      </c>
      <c r="C14" s="54">
        <f t="shared" ref="C14:G14" si="5">C10*C12</f>
        <v>32193000</v>
      </c>
      <c r="D14" s="54">
        <f t="shared" si="5"/>
        <v>32193000</v>
      </c>
      <c r="E14" s="54">
        <f t="shared" si="5"/>
        <v>32193000</v>
      </c>
      <c r="F14" s="54">
        <f t="shared" si="5"/>
        <v>33981500</v>
      </c>
      <c r="G14" s="54">
        <f t="shared" si="5"/>
        <v>35770000</v>
      </c>
    </row>
    <row r="15" spans="2:9" ht="14.25" customHeight="1" x14ac:dyDescent="0.3"/>
    <row r="16" spans="2:9" ht="14.25" customHeight="1" x14ac:dyDescent="0.3">
      <c r="B16" s="82" t="s">
        <v>157</v>
      </c>
      <c r="C16" s="83">
        <v>2026</v>
      </c>
      <c r="D16" s="83">
        <v>2027</v>
      </c>
      <c r="E16" s="83">
        <v>2028</v>
      </c>
      <c r="F16" s="83">
        <v>2029</v>
      </c>
      <c r="G16" s="83">
        <v>2030</v>
      </c>
    </row>
    <row r="17" spans="2:7" ht="14.25" customHeight="1" x14ac:dyDescent="0.3">
      <c r="B17" s="22" t="s">
        <v>151</v>
      </c>
      <c r="C17" s="54">
        <v>90000</v>
      </c>
      <c r="D17" s="54">
        <v>90000</v>
      </c>
      <c r="E17" s="54">
        <v>90000</v>
      </c>
      <c r="F17" s="54">
        <v>100000</v>
      </c>
      <c r="G17" s="54">
        <v>100000</v>
      </c>
    </row>
    <row r="18" spans="2:7" ht="14.25" customHeight="1" x14ac:dyDescent="0.3">
      <c r="B18" s="22" t="s">
        <v>153</v>
      </c>
      <c r="C18" s="22"/>
      <c r="D18" s="22"/>
      <c r="E18" s="22"/>
      <c r="F18" s="22"/>
      <c r="G18" s="22"/>
    </row>
    <row r="19" spans="2:7" ht="14.25" customHeight="1" x14ac:dyDescent="0.3">
      <c r="B19" s="22" t="s">
        <v>154</v>
      </c>
      <c r="C19" s="84">
        <f t="shared" ref="C19:G19" si="6">C5</f>
        <v>357.7</v>
      </c>
      <c r="D19" s="84">
        <f t="shared" si="6"/>
        <v>357.7</v>
      </c>
      <c r="E19" s="84">
        <f t="shared" si="6"/>
        <v>357.7</v>
      </c>
      <c r="F19" s="84">
        <f t="shared" si="6"/>
        <v>357.7</v>
      </c>
      <c r="G19" s="84">
        <f t="shared" si="6"/>
        <v>357.7</v>
      </c>
    </row>
    <row r="20" spans="2:7" ht="14.25" customHeight="1" x14ac:dyDescent="0.3">
      <c r="B20" s="22" t="s">
        <v>155</v>
      </c>
      <c r="C20" s="84">
        <f t="shared" ref="C20:G20" si="7">365-C19</f>
        <v>7.3000000000000114</v>
      </c>
      <c r="D20" s="84">
        <f t="shared" si="7"/>
        <v>7.3000000000000114</v>
      </c>
      <c r="E20" s="84">
        <f t="shared" si="7"/>
        <v>7.3000000000000114</v>
      </c>
      <c r="F20" s="84">
        <f t="shared" si="7"/>
        <v>7.3000000000000114</v>
      </c>
      <c r="G20" s="84">
        <f t="shared" si="7"/>
        <v>7.3000000000000114</v>
      </c>
    </row>
    <row r="21" spans="2:7" ht="14.25" customHeight="1" x14ac:dyDescent="0.3">
      <c r="B21" s="22" t="s">
        <v>139</v>
      </c>
      <c r="C21" s="54">
        <f t="shared" ref="C21:G21" si="8">C17*C19</f>
        <v>32193000</v>
      </c>
      <c r="D21" s="54">
        <f t="shared" si="8"/>
        <v>32193000</v>
      </c>
      <c r="E21" s="54">
        <f t="shared" si="8"/>
        <v>32193000</v>
      </c>
      <c r="F21" s="54">
        <f t="shared" si="8"/>
        <v>35770000</v>
      </c>
      <c r="G21" s="54">
        <f t="shared" si="8"/>
        <v>35770000</v>
      </c>
    </row>
    <row r="22" spans="2:7" ht="14.25" customHeight="1" x14ac:dyDescent="0.3"/>
    <row r="23" spans="2:7" ht="14.25" customHeight="1" x14ac:dyDescent="0.3">
      <c r="B23" s="82" t="s">
        <v>158</v>
      </c>
      <c r="C23" s="83">
        <v>2026</v>
      </c>
      <c r="D23" s="83">
        <v>2027</v>
      </c>
      <c r="E23" s="83">
        <v>2028</v>
      </c>
      <c r="F23" s="83">
        <v>2029</v>
      </c>
      <c r="G23" s="83">
        <v>2030</v>
      </c>
    </row>
    <row r="24" spans="2:7" ht="14.25" customHeight="1" x14ac:dyDescent="0.3">
      <c r="B24" s="22" t="s">
        <v>151</v>
      </c>
      <c r="C24" s="54">
        <v>90000</v>
      </c>
      <c r="D24" s="54">
        <v>95000</v>
      </c>
      <c r="E24" s="54">
        <v>95000</v>
      </c>
      <c r="F24" s="54">
        <v>100000</v>
      </c>
      <c r="G24" s="54">
        <v>100000</v>
      </c>
    </row>
    <row r="25" spans="2:7" ht="14.25" customHeight="1" x14ac:dyDescent="0.3">
      <c r="B25" s="22" t="s">
        <v>153</v>
      </c>
      <c r="C25" s="22"/>
      <c r="D25" s="22"/>
      <c r="E25" s="22"/>
      <c r="F25" s="22"/>
      <c r="G25" s="22"/>
    </row>
    <row r="26" spans="2:7" ht="14.25" customHeight="1" x14ac:dyDescent="0.3">
      <c r="B26" s="22" t="s">
        <v>154</v>
      </c>
      <c r="C26" s="84">
        <f t="shared" ref="C26:G26" si="9">C5</f>
        <v>357.7</v>
      </c>
      <c r="D26" s="84">
        <f t="shared" si="9"/>
        <v>357.7</v>
      </c>
      <c r="E26" s="84">
        <f t="shared" si="9"/>
        <v>357.7</v>
      </c>
      <c r="F26" s="84">
        <f t="shared" si="9"/>
        <v>357.7</v>
      </c>
      <c r="G26" s="84">
        <f t="shared" si="9"/>
        <v>357.7</v>
      </c>
    </row>
    <row r="27" spans="2:7" ht="14.25" customHeight="1" x14ac:dyDescent="0.3">
      <c r="B27" s="22" t="s">
        <v>155</v>
      </c>
      <c r="C27" s="84">
        <f t="shared" ref="C27:G27" si="10">365-C26</f>
        <v>7.3000000000000114</v>
      </c>
      <c r="D27" s="84">
        <f t="shared" si="10"/>
        <v>7.3000000000000114</v>
      </c>
      <c r="E27" s="84">
        <f t="shared" si="10"/>
        <v>7.3000000000000114</v>
      </c>
      <c r="F27" s="84">
        <f t="shared" si="10"/>
        <v>7.3000000000000114</v>
      </c>
      <c r="G27" s="84">
        <f t="shared" si="10"/>
        <v>7.3000000000000114</v>
      </c>
    </row>
    <row r="28" spans="2:7" ht="14.25" customHeight="1" x14ac:dyDescent="0.3">
      <c r="B28" s="22" t="s">
        <v>139</v>
      </c>
      <c r="C28" s="54">
        <f t="shared" ref="C28:G28" si="11">C24*C26</f>
        <v>32193000</v>
      </c>
      <c r="D28" s="54">
        <f t="shared" si="11"/>
        <v>33981500</v>
      </c>
      <c r="E28" s="54">
        <f t="shared" si="11"/>
        <v>33981500</v>
      </c>
      <c r="F28" s="54">
        <f t="shared" si="11"/>
        <v>35770000</v>
      </c>
      <c r="G28" s="54">
        <f t="shared" si="11"/>
        <v>35770000</v>
      </c>
    </row>
    <row r="29" spans="2:7" ht="14.25" customHeight="1" x14ac:dyDescent="0.3"/>
    <row r="30" spans="2:7" ht="14.25" customHeight="1" x14ac:dyDescent="0.3">
      <c r="B30" s="82" t="s">
        <v>159</v>
      </c>
      <c r="C30" s="83">
        <v>2026</v>
      </c>
      <c r="D30" s="83">
        <v>2027</v>
      </c>
      <c r="E30" s="83">
        <v>2028</v>
      </c>
      <c r="F30" s="83">
        <v>2029</v>
      </c>
      <c r="G30" s="83">
        <v>2030</v>
      </c>
    </row>
    <row r="31" spans="2:7" ht="14.25" customHeight="1" x14ac:dyDescent="0.3">
      <c r="B31" s="22" t="s">
        <v>151</v>
      </c>
      <c r="C31" s="54">
        <v>90000</v>
      </c>
      <c r="D31" s="54">
        <v>95000</v>
      </c>
      <c r="E31" s="54">
        <v>95000</v>
      </c>
      <c r="F31" s="54">
        <v>100000</v>
      </c>
      <c r="G31" s="54">
        <v>100000</v>
      </c>
    </row>
    <row r="32" spans="2:7" ht="14.25" customHeight="1" x14ac:dyDescent="0.3">
      <c r="B32" s="22" t="s">
        <v>153</v>
      </c>
      <c r="C32" s="22"/>
      <c r="D32" s="22"/>
      <c r="E32" s="22"/>
      <c r="F32" s="22"/>
      <c r="G32" s="22"/>
    </row>
    <row r="33" spans="2:7" ht="14.25" customHeight="1" x14ac:dyDescent="0.3">
      <c r="B33" s="22" t="s">
        <v>154</v>
      </c>
      <c r="C33" s="22">
        <v>339</v>
      </c>
      <c r="D33" s="84">
        <f t="shared" ref="D33:G33" si="12">C26</f>
        <v>357.7</v>
      </c>
      <c r="E33" s="84">
        <f t="shared" si="12"/>
        <v>357.7</v>
      </c>
      <c r="F33" s="84">
        <f t="shared" si="12"/>
        <v>357.7</v>
      </c>
      <c r="G33" s="84">
        <f t="shared" si="12"/>
        <v>357.7</v>
      </c>
    </row>
    <row r="34" spans="2:7" ht="14.25" customHeight="1" x14ac:dyDescent="0.3">
      <c r="B34" s="22" t="s">
        <v>155</v>
      </c>
      <c r="C34" s="22">
        <f t="shared" ref="C34:G34" si="13">365-C33</f>
        <v>26</v>
      </c>
      <c r="D34" s="84">
        <f t="shared" si="13"/>
        <v>7.3000000000000114</v>
      </c>
      <c r="E34" s="84">
        <f t="shared" si="13"/>
        <v>7.3000000000000114</v>
      </c>
      <c r="F34" s="84">
        <f t="shared" si="13"/>
        <v>7.3000000000000114</v>
      </c>
      <c r="G34" s="84">
        <f t="shared" si="13"/>
        <v>7.3000000000000114</v>
      </c>
    </row>
    <row r="35" spans="2:7" ht="14.25" customHeight="1" x14ac:dyDescent="0.3">
      <c r="B35" s="22" t="s">
        <v>139</v>
      </c>
      <c r="C35" s="54">
        <f t="shared" ref="C35:G35" si="14">C31*C33</f>
        <v>30510000</v>
      </c>
      <c r="D35" s="54">
        <f t="shared" si="14"/>
        <v>33981500</v>
      </c>
      <c r="E35" s="54">
        <f t="shared" si="14"/>
        <v>33981500</v>
      </c>
      <c r="F35" s="54">
        <f t="shared" si="14"/>
        <v>35770000</v>
      </c>
      <c r="G35" s="54">
        <f t="shared" si="14"/>
        <v>35770000</v>
      </c>
    </row>
    <row r="36" spans="2:7" ht="14.25" customHeight="1" x14ac:dyDescent="0.3"/>
    <row r="37" spans="2:7" ht="14.25" customHeight="1" x14ac:dyDescent="0.3">
      <c r="B37" s="82" t="s">
        <v>160</v>
      </c>
      <c r="C37" s="83">
        <v>2026</v>
      </c>
      <c r="D37" s="83">
        <v>2027</v>
      </c>
      <c r="E37" s="83">
        <v>2028</v>
      </c>
      <c r="F37" s="83">
        <v>2029</v>
      </c>
      <c r="G37" s="83">
        <v>2030</v>
      </c>
    </row>
    <row r="38" spans="2:7" ht="14.25" customHeight="1" x14ac:dyDescent="0.3">
      <c r="B38" s="22" t="s">
        <v>151</v>
      </c>
      <c r="C38" s="54">
        <v>90000</v>
      </c>
      <c r="D38" s="54">
        <v>95000</v>
      </c>
      <c r="E38" s="54">
        <v>95000</v>
      </c>
      <c r="F38" s="54">
        <v>100000</v>
      </c>
      <c r="G38" s="54">
        <v>100000</v>
      </c>
    </row>
    <row r="39" spans="2:7" ht="14.25" customHeight="1" x14ac:dyDescent="0.3">
      <c r="B39" s="22" t="s">
        <v>153</v>
      </c>
      <c r="C39" s="22"/>
      <c r="D39" s="22"/>
      <c r="E39" s="22"/>
      <c r="F39" s="22"/>
      <c r="G39" s="22"/>
    </row>
    <row r="40" spans="2:7" ht="14.25" customHeight="1" x14ac:dyDescent="0.3">
      <c r="B40" s="22" t="s">
        <v>154</v>
      </c>
      <c r="C40" s="22">
        <v>223</v>
      </c>
      <c r="D40" s="84">
        <f t="shared" ref="D40:G40" si="15">D33</f>
        <v>357.7</v>
      </c>
      <c r="E40" s="84">
        <f t="shared" si="15"/>
        <v>357.7</v>
      </c>
      <c r="F40" s="84">
        <f t="shared" si="15"/>
        <v>357.7</v>
      </c>
      <c r="G40" s="84">
        <f t="shared" si="15"/>
        <v>357.7</v>
      </c>
    </row>
    <row r="41" spans="2:7" ht="14.25" customHeight="1" x14ac:dyDescent="0.3">
      <c r="B41" s="22" t="s">
        <v>155</v>
      </c>
      <c r="C41" s="22">
        <f t="shared" ref="C41:G41" si="16">365-C40</f>
        <v>142</v>
      </c>
      <c r="D41" s="84">
        <f t="shared" si="16"/>
        <v>7.3000000000000114</v>
      </c>
      <c r="E41" s="84">
        <f t="shared" si="16"/>
        <v>7.3000000000000114</v>
      </c>
      <c r="F41" s="84">
        <f t="shared" si="16"/>
        <v>7.3000000000000114</v>
      </c>
      <c r="G41" s="84">
        <f t="shared" si="16"/>
        <v>7.3000000000000114</v>
      </c>
    </row>
    <row r="42" spans="2:7" ht="14.25" customHeight="1" x14ac:dyDescent="0.3">
      <c r="B42" s="22" t="s">
        <v>139</v>
      </c>
      <c r="C42" s="54">
        <f t="shared" ref="C42:G42" si="17">C38*C40</f>
        <v>20070000</v>
      </c>
      <c r="D42" s="54">
        <f t="shared" si="17"/>
        <v>33981500</v>
      </c>
      <c r="E42" s="54">
        <f t="shared" si="17"/>
        <v>33981500</v>
      </c>
      <c r="F42" s="54">
        <f t="shared" si="17"/>
        <v>35770000</v>
      </c>
      <c r="G42" s="54">
        <f t="shared" si="17"/>
        <v>35770000</v>
      </c>
    </row>
    <row r="43" spans="2:7" ht="14.25" customHeight="1" x14ac:dyDescent="0.3"/>
    <row r="44" spans="2:7" ht="14.25" customHeight="1" x14ac:dyDescent="0.3">
      <c r="B44" s="82" t="s">
        <v>161</v>
      </c>
      <c r="C44" s="83">
        <v>2026</v>
      </c>
      <c r="D44" s="83">
        <v>2027</v>
      </c>
      <c r="E44" s="83">
        <v>2028</v>
      </c>
      <c r="F44" s="83">
        <v>2029</v>
      </c>
      <c r="G44" s="83">
        <v>2030</v>
      </c>
    </row>
    <row r="45" spans="2:7" ht="14.25" customHeight="1" x14ac:dyDescent="0.3">
      <c r="B45" s="22" t="s">
        <v>151</v>
      </c>
      <c r="C45" s="54">
        <v>90000</v>
      </c>
      <c r="D45" s="54">
        <v>90000</v>
      </c>
      <c r="E45" s="54">
        <v>95000</v>
      </c>
      <c r="F45" s="54">
        <v>100000</v>
      </c>
      <c r="G45" s="54">
        <v>100000</v>
      </c>
    </row>
    <row r="46" spans="2:7" ht="14.25" customHeight="1" x14ac:dyDescent="0.3">
      <c r="B46" s="22" t="s">
        <v>153</v>
      </c>
      <c r="C46" s="22"/>
      <c r="D46" s="22"/>
      <c r="E46" s="22"/>
      <c r="F46" s="22"/>
      <c r="G46" s="22"/>
    </row>
    <row r="47" spans="2:7" ht="14.25" customHeight="1" x14ac:dyDescent="0.3">
      <c r="B47" s="22" t="s">
        <v>154</v>
      </c>
      <c r="C47" s="84">
        <f t="shared" ref="C47:F47" si="18">D40</f>
        <v>357.7</v>
      </c>
      <c r="D47" s="84">
        <f t="shared" si="18"/>
        <v>357.7</v>
      </c>
      <c r="E47" s="84">
        <f t="shared" si="18"/>
        <v>357.7</v>
      </c>
      <c r="F47" s="84">
        <f t="shared" si="18"/>
        <v>357.7</v>
      </c>
      <c r="G47" s="84">
        <f>F47</f>
        <v>357.7</v>
      </c>
    </row>
    <row r="48" spans="2:7" ht="14.25" customHeight="1" x14ac:dyDescent="0.3">
      <c r="B48" s="22" t="s">
        <v>155</v>
      </c>
      <c r="C48" s="84">
        <f t="shared" ref="C48:G48" si="19">365-C47</f>
        <v>7.3000000000000114</v>
      </c>
      <c r="D48" s="84">
        <f t="shared" si="19"/>
        <v>7.3000000000000114</v>
      </c>
      <c r="E48" s="84">
        <f t="shared" si="19"/>
        <v>7.3000000000000114</v>
      </c>
      <c r="F48" s="84">
        <f t="shared" si="19"/>
        <v>7.3000000000000114</v>
      </c>
      <c r="G48" s="84">
        <f t="shared" si="19"/>
        <v>7.3000000000000114</v>
      </c>
    </row>
    <row r="49" spans="2:7" ht="14.25" customHeight="1" x14ac:dyDescent="0.3">
      <c r="B49" s="22" t="s">
        <v>139</v>
      </c>
      <c r="C49" s="54">
        <f t="shared" ref="C49:G49" si="20">C45*C47</f>
        <v>32193000</v>
      </c>
      <c r="D49" s="54">
        <f t="shared" si="20"/>
        <v>32193000</v>
      </c>
      <c r="E49" s="54">
        <f t="shared" si="20"/>
        <v>33981500</v>
      </c>
      <c r="F49" s="54">
        <f t="shared" si="20"/>
        <v>35770000</v>
      </c>
      <c r="G49" s="54">
        <f t="shared" si="20"/>
        <v>35770000</v>
      </c>
    </row>
    <row r="50" spans="2:7" ht="14.25" customHeight="1" x14ac:dyDescent="0.3"/>
    <row r="51" spans="2:7" ht="14.25" customHeight="1" x14ac:dyDescent="0.3">
      <c r="B51" s="82" t="s">
        <v>162</v>
      </c>
      <c r="C51" s="83">
        <v>2026</v>
      </c>
      <c r="D51" s="83">
        <v>2027</v>
      </c>
      <c r="E51" s="83">
        <v>2028</v>
      </c>
      <c r="F51" s="83">
        <v>2029</v>
      </c>
      <c r="G51" s="83">
        <v>2030</v>
      </c>
    </row>
    <row r="52" spans="2:7" ht="14.25" customHeight="1" x14ac:dyDescent="0.3">
      <c r="B52" s="22" t="s">
        <v>151</v>
      </c>
      <c r="C52" s="54"/>
      <c r="D52" s="54">
        <v>95000</v>
      </c>
      <c r="E52" s="54">
        <v>95000</v>
      </c>
      <c r="F52" s="54">
        <v>95000</v>
      </c>
      <c r="G52" s="54">
        <v>95000</v>
      </c>
    </row>
    <row r="53" spans="2:7" ht="14.25" customHeight="1" x14ac:dyDescent="0.3">
      <c r="B53" s="22" t="s">
        <v>153</v>
      </c>
      <c r="C53" s="22"/>
      <c r="D53" s="22"/>
      <c r="E53" s="22"/>
      <c r="F53" s="22"/>
      <c r="G53" s="22"/>
    </row>
    <row r="54" spans="2:7" ht="14.25" customHeight="1" x14ac:dyDescent="0.3">
      <c r="B54" s="22" t="s">
        <v>154</v>
      </c>
      <c r="C54" s="22"/>
      <c r="D54" s="22">
        <f>270</f>
        <v>270</v>
      </c>
      <c r="E54" s="84">
        <f t="shared" ref="E54:G54" si="21">365*$I$4</f>
        <v>357.7</v>
      </c>
      <c r="F54" s="84">
        <f t="shared" si="21"/>
        <v>357.7</v>
      </c>
      <c r="G54" s="84">
        <f t="shared" si="21"/>
        <v>357.7</v>
      </c>
    </row>
    <row r="55" spans="2:7" ht="14.25" customHeight="1" x14ac:dyDescent="0.3">
      <c r="B55" s="22" t="s">
        <v>155</v>
      </c>
      <c r="C55" s="22"/>
      <c r="D55" s="22">
        <f t="shared" ref="D55:G55" si="22">365-D54</f>
        <v>95</v>
      </c>
      <c r="E55" s="84">
        <f t="shared" si="22"/>
        <v>7.3000000000000114</v>
      </c>
      <c r="F55" s="84">
        <f t="shared" si="22"/>
        <v>7.3000000000000114</v>
      </c>
      <c r="G55" s="84">
        <f t="shared" si="22"/>
        <v>7.3000000000000114</v>
      </c>
    </row>
    <row r="56" spans="2:7" ht="14.25" customHeight="1" x14ac:dyDescent="0.3">
      <c r="B56" s="22" t="s">
        <v>139</v>
      </c>
      <c r="C56" s="54"/>
      <c r="D56" s="54">
        <f t="shared" ref="D56:G56" si="23">D52*D54</f>
        <v>25650000</v>
      </c>
      <c r="E56" s="54">
        <f t="shared" si="23"/>
        <v>33981500</v>
      </c>
      <c r="F56" s="54">
        <f t="shared" si="23"/>
        <v>33981500</v>
      </c>
      <c r="G56" s="54">
        <f t="shared" si="23"/>
        <v>33981500</v>
      </c>
    </row>
    <row r="57" spans="2:7" ht="14.25" customHeight="1" x14ac:dyDescent="0.3"/>
    <row r="58" spans="2:7" ht="14.25" customHeight="1" x14ac:dyDescent="0.3">
      <c r="B58" s="82" t="s">
        <v>163</v>
      </c>
      <c r="C58" s="83">
        <v>2026</v>
      </c>
      <c r="D58" s="83">
        <v>2027</v>
      </c>
      <c r="E58" s="83">
        <v>2028</v>
      </c>
      <c r="F58" s="83">
        <v>2029</v>
      </c>
      <c r="G58" s="83">
        <v>2030</v>
      </c>
    </row>
    <row r="59" spans="2:7" ht="14.25" customHeight="1" x14ac:dyDescent="0.3">
      <c r="B59" s="22" t="s">
        <v>151</v>
      </c>
      <c r="C59" s="54"/>
      <c r="D59" s="54"/>
      <c r="E59" s="54">
        <v>95000</v>
      </c>
      <c r="F59" s="54">
        <v>100000</v>
      </c>
      <c r="G59" s="54">
        <v>100000</v>
      </c>
    </row>
    <row r="60" spans="2:7" ht="14.25" customHeight="1" x14ac:dyDescent="0.3">
      <c r="B60" s="22" t="s">
        <v>153</v>
      </c>
      <c r="C60" s="22"/>
      <c r="D60" s="22"/>
      <c r="E60" s="22"/>
      <c r="F60" s="22"/>
      <c r="G60" s="22"/>
    </row>
    <row r="61" spans="2:7" ht="14.25" customHeight="1" x14ac:dyDescent="0.3">
      <c r="B61" s="22" t="s">
        <v>154</v>
      </c>
      <c r="C61" s="22"/>
      <c r="D61" s="22"/>
      <c r="E61" s="22">
        <v>270</v>
      </c>
      <c r="F61" s="84">
        <f t="shared" ref="F61:G61" si="24">365*$I$4</f>
        <v>357.7</v>
      </c>
      <c r="G61" s="84">
        <f t="shared" si="24"/>
        <v>357.7</v>
      </c>
    </row>
    <row r="62" spans="2:7" ht="14.25" customHeight="1" x14ac:dyDescent="0.3">
      <c r="B62" s="22" t="s">
        <v>155</v>
      </c>
      <c r="C62" s="22"/>
      <c r="D62" s="22"/>
      <c r="E62" s="22">
        <f t="shared" ref="E62:G62" si="25">365-E61</f>
        <v>95</v>
      </c>
      <c r="F62" s="84">
        <f t="shared" si="25"/>
        <v>7.3000000000000114</v>
      </c>
      <c r="G62" s="84">
        <f t="shared" si="25"/>
        <v>7.3000000000000114</v>
      </c>
    </row>
    <row r="63" spans="2:7" ht="14.25" customHeight="1" x14ac:dyDescent="0.3">
      <c r="B63" s="22" t="s">
        <v>139</v>
      </c>
      <c r="C63" s="54"/>
      <c r="D63" s="54"/>
      <c r="E63" s="54">
        <f t="shared" ref="E63:G63" si="26">E59*E61</f>
        <v>25650000</v>
      </c>
      <c r="F63" s="54">
        <f t="shared" si="26"/>
        <v>35770000</v>
      </c>
      <c r="G63" s="54">
        <f t="shared" si="26"/>
        <v>35770000</v>
      </c>
    </row>
    <row r="64" spans="2:7" ht="14.25" customHeight="1" x14ac:dyDescent="0.3">
      <c r="B64" s="85"/>
      <c r="C64" s="86"/>
      <c r="D64" s="86"/>
      <c r="E64" s="86"/>
      <c r="F64" s="86"/>
    </row>
    <row r="65" spans="1:9" ht="14.25" customHeight="1" x14ac:dyDescent="0.3">
      <c r="A65" s="22" t="s">
        <v>164</v>
      </c>
      <c r="B65" s="87" t="s">
        <v>165</v>
      </c>
      <c r="C65" s="86"/>
      <c r="D65" s="86"/>
      <c r="E65" s="86"/>
      <c r="F65" s="86"/>
    </row>
    <row r="66" spans="1:9" ht="14.25" customHeight="1" x14ac:dyDescent="0.3">
      <c r="A66" s="22" t="s">
        <v>166</v>
      </c>
      <c r="B66" s="22">
        <v>120</v>
      </c>
      <c r="E66" s="7" t="s">
        <v>167</v>
      </c>
      <c r="F66" s="7" t="s">
        <v>168</v>
      </c>
      <c r="G66" s="7" t="s">
        <v>169</v>
      </c>
    </row>
    <row r="67" spans="1:9" ht="14.25" customHeight="1" x14ac:dyDescent="0.3">
      <c r="A67" s="22" t="s">
        <v>170</v>
      </c>
      <c r="B67" s="22">
        <v>240</v>
      </c>
      <c r="E67" s="82" t="s">
        <v>162</v>
      </c>
      <c r="F67" s="35">
        <v>85000000</v>
      </c>
      <c r="G67" s="35">
        <f>D80</f>
        <v>26308</v>
      </c>
      <c r="H67" s="35">
        <f t="shared" ref="H67:H68" si="27">F67*G67</f>
        <v>2236180000000</v>
      </c>
      <c r="I67" s="35"/>
    </row>
    <row r="68" spans="1:9" ht="14.25" customHeight="1" x14ac:dyDescent="0.3">
      <c r="A68" s="22" t="s">
        <v>171</v>
      </c>
      <c r="B68" s="22">
        <v>80</v>
      </c>
      <c r="E68" s="82" t="s">
        <v>163</v>
      </c>
      <c r="F68" s="35">
        <v>85000000</v>
      </c>
      <c r="G68" s="35">
        <f>E80</f>
        <v>26308</v>
      </c>
      <c r="H68" s="35">
        <f t="shared" si="27"/>
        <v>2236180000000</v>
      </c>
    </row>
    <row r="69" spans="1:9" ht="14.25" customHeight="1" x14ac:dyDescent="0.3">
      <c r="A69" s="22" t="s">
        <v>172</v>
      </c>
      <c r="B69" s="22">
        <v>95</v>
      </c>
    </row>
    <row r="70" spans="1:9" ht="14.25" customHeight="1" x14ac:dyDescent="0.3">
      <c r="A70" s="22" t="s">
        <v>173</v>
      </c>
      <c r="B70" s="22">
        <v>85</v>
      </c>
    </row>
    <row r="71" spans="1:9" ht="14.25" customHeight="1" x14ac:dyDescent="0.3"/>
    <row r="72" spans="1:9" ht="14.25" customHeight="1" x14ac:dyDescent="0.3">
      <c r="B72" s="83">
        <v>2025</v>
      </c>
      <c r="C72" s="83">
        <v>2026</v>
      </c>
      <c r="D72" s="83">
        <v>2027</v>
      </c>
      <c r="E72" s="83">
        <v>2028</v>
      </c>
      <c r="F72" s="83">
        <v>2029</v>
      </c>
      <c r="G72" s="83">
        <v>2030</v>
      </c>
    </row>
    <row r="73" spans="1:9" ht="14.25" customHeight="1" x14ac:dyDescent="0.3">
      <c r="A73" s="88" t="s">
        <v>174</v>
      </c>
      <c r="B73" s="22">
        <f>SUM(B66:B70)</f>
        <v>620</v>
      </c>
      <c r="C73" s="84">
        <f t="shared" ref="C73:G73" si="28">C75*365</f>
        <v>730</v>
      </c>
      <c r="D73" s="22">
        <f t="shared" si="28"/>
        <v>821.25</v>
      </c>
      <c r="E73" s="22">
        <f t="shared" si="28"/>
        <v>912.5</v>
      </c>
      <c r="F73" s="22">
        <f t="shared" si="28"/>
        <v>1003.75</v>
      </c>
      <c r="G73" s="22">
        <f t="shared" si="28"/>
        <v>1095</v>
      </c>
    </row>
    <row r="74" spans="1:9" ht="14.25" customHeight="1" x14ac:dyDescent="0.3">
      <c r="A74" s="88" t="s">
        <v>175</v>
      </c>
      <c r="B74" s="54">
        <v>89000</v>
      </c>
      <c r="C74" s="54">
        <v>89000</v>
      </c>
      <c r="D74" s="54">
        <v>89000</v>
      </c>
      <c r="E74" s="54">
        <v>89000</v>
      </c>
      <c r="F74" s="54">
        <v>89000</v>
      </c>
      <c r="G74" s="54">
        <v>89000</v>
      </c>
    </row>
    <row r="75" spans="1:9" ht="14.25" customHeight="1" x14ac:dyDescent="0.3">
      <c r="A75" s="88" t="s">
        <v>176</v>
      </c>
      <c r="B75" s="71">
        <f>B73/365</f>
        <v>1.6986301369863013</v>
      </c>
      <c r="C75" s="22">
        <v>2</v>
      </c>
      <c r="D75" s="22">
        <v>2.25</v>
      </c>
      <c r="E75" s="22">
        <v>2.5</v>
      </c>
      <c r="F75" s="22">
        <v>2.75</v>
      </c>
      <c r="G75" s="22">
        <v>3</v>
      </c>
    </row>
    <row r="76" spans="1:9" ht="14.25" customHeight="1" x14ac:dyDescent="0.3">
      <c r="A76" s="88" t="s">
        <v>139</v>
      </c>
      <c r="B76" s="54">
        <f t="shared" ref="B76:G76" si="29">B74*B75*365</f>
        <v>55180000</v>
      </c>
      <c r="C76" s="54">
        <f t="shared" si="29"/>
        <v>64970000</v>
      </c>
      <c r="D76" s="54">
        <f t="shared" si="29"/>
        <v>73091250</v>
      </c>
      <c r="E76" s="54">
        <f t="shared" si="29"/>
        <v>81212500</v>
      </c>
      <c r="F76" s="54">
        <f t="shared" si="29"/>
        <v>89333750</v>
      </c>
      <c r="G76" s="54">
        <f t="shared" si="29"/>
        <v>97455000</v>
      </c>
    </row>
    <row r="77" spans="1:9" ht="14.25" customHeight="1" x14ac:dyDescent="0.3"/>
    <row r="78" spans="1:9" ht="14.25" customHeight="1" x14ac:dyDescent="0.3">
      <c r="C78" s="89">
        <v>2026</v>
      </c>
      <c r="D78" s="89">
        <v>2027</v>
      </c>
      <c r="E78" s="89">
        <v>2028</v>
      </c>
      <c r="F78" s="89">
        <v>2029</v>
      </c>
      <c r="G78" s="89">
        <v>2030</v>
      </c>
    </row>
    <row r="79" spans="1:9" ht="14.25" customHeight="1" x14ac:dyDescent="0.3">
      <c r="A79" s="90" t="s">
        <v>177</v>
      </c>
      <c r="B79" s="91"/>
      <c r="C79" s="54">
        <f>C7+C14+C21+C28+C35+C42+C49+C76</f>
        <v>276515000</v>
      </c>
      <c r="D79" s="54">
        <f>D7+D14+D21+D28+D35+D42+D49+D76+D56</f>
        <v>331246250</v>
      </c>
      <c r="E79" s="54">
        <f t="shared" ref="E79:G79" si="30">E7+E14+E21+E28+E35+E42+E49+E76+E56+E63</f>
        <v>375137500</v>
      </c>
      <c r="F79" s="54">
        <f t="shared" si="30"/>
        <v>405898250</v>
      </c>
      <c r="G79" s="54">
        <f t="shared" si="30"/>
        <v>417596500</v>
      </c>
    </row>
    <row r="80" spans="1:9" ht="14.25" customHeight="1" x14ac:dyDescent="0.3">
      <c r="A80" s="90" t="s">
        <v>169</v>
      </c>
      <c r="B80" s="91"/>
      <c r="C80" s="54">
        <v>26308</v>
      </c>
      <c r="D80" s="54">
        <v>26308</v>
      </c>
      <c r="E80" s="54">
        <v>26308</v>
      </c>
      <c r="F80" s="54">
        <v>26308</v>
      </c>
      <c r="G80" s="54">
        <v>26308</v>
      </c>
    </row>
    <row r="81" spans="1:7" ht="14.25" customHeight="1" x14ac:dyDescent="0.3">
      <c r="A81" s="90" t="s">
        <v>178</v>
      </c>
      <c r="B81" s="91"/>
      <c r="C81" s="54">
        <f t="shared" ref="C81:G81" si="31">C79*C80</f>
        <v>7274556620000</v>
      </c>
      <c r="D81" s="54">
        <f t="shared" si="31"/>
        <v>8714426345000</v>
      </c>
      <c r="E81" s="54">
        <f t="shared" si="31"/>
        <v>9869117350000</v>
      </c>
      <c r="F81" s="54">
        <f t="shared" si="31"/>
        <v>10678371161000</v>
      </c>
      <c r="G81" s="54">
        <f t="shared" si="31"/>
        <v>10986128722000</v>
      </c>
    </row>
    <row r="82" spans="1:7" ht="14.25" customHeight="1" x14ac:dyDescent="0.3"/>
    <row r="83" spans="1:7" ht="14.25" customHeight="1" x14ac:dyDescent="0.3"/>
    <row r="84" spans="1:7" ht="14.25" customHeight="1" x14ac:dyDescent="0.3"/>
    <row r="85" spans="1:7" ht="14.25" customHeight="1" x14ac:dyDescent="0.3"/>
    <row r="86" spans="1:7" ht="14.25" customHeight="1" x14ac:dyDescent="0.3"/>
    <row r="87" spans="1:7" ht="14.25" customHeight="1" x14ac:dyDescent="0.3"/>
    <row r="88" spans="1:7" ht="14.25" customHeight="1" x14ac:dyDescent="0.3"/>
    <row r="89" spans="1:7" ht="14.25" customHeight="1" x14ac:dyDescent="0.3"/>
    <row r="90" spans="1:7" ht="14.25" customHeight="1" x14ac:dyDescent="0.3"/>
    <row r="91" spans="1:7" ht="14.25" customHeight="1" x14ac:dyDescent="0.3"/>
    <row r="92" spans="1:7" ht="14.25" customHeight="1" x14ac:dyDescent="0.3"/>
    <row r="93" spans="1:7" ht="14.25" customHeight="1" x14ac:dyDescent="0.3"/>
    <row r="94" spans="1:7" ht="14.25" customHeight="1" x14ac:dyDescent="0.3"/>
    <row r="95" spans="1:7" ht="14.25" customHeight="1" x14ac:dyDescent="0.3"/>
    <row r="96" spans="1:7" ht="14.25" customHeight="1" x14ac:dyDescent="0.3"/>
    <row r="97" s="7" customFormat="1" ht="14.25" customHeight="1" x14ac:dyDescent="0.3"/>
    <row r="98" s="7" customFormat="1" ht="14.25" customHeight="1" x14ac:dyDescent="0.3"/>
    <row r="99" s="7" customFormat="1" ht="14.25" customHeight="1" x14ac:dyDescent="0.3"/>
    <row r="100" s="7" customFormat="1" ht="14.25" customHeight="1" x14ac:dyDescent="0.3"/>
    <row r="101" s="7" customFormat="1" ht="14.25" customHeight="1" x14ac:dyDescent="0.3"/>
    <row r="102" s="7" customFormat="1" ht="14.25" customHeight="1" x14ac:dyDescent="0.3"/>
    <row r="103" s="7" customFormat="1" ht="14.25" customHeight="1" x14ac:dyDescent="0.3"/>
    <row r="104" s="7" customFormat="1" ht="14.25" customHeight="1" x14ac:dyDescent="0.3"/>
    <row r="105" s="7" customFormat="1" ht="14.25" customHeight="1" x14ac:dyDescent="0.3"/>
    <row r="106" s="7" customFormat="1" ht="14.25" customHeight="1" x14ac:dyDescent="0.3"/>
    <row r="107" s="7" customFormat="1" ht="14.25" customHeight="1" x14ac:dyDescent="0.3"/>
    <row r="108" s="7" customFormat="1" ht="14.25" customHeight="1" x14ac:dyDescent="0.3"/>
    <row r="109" s="7" customFormat="1" ht="14.25" customHeight="1" x14ac:dyDescent="0.3"/>
    <row r="110" s="7" customFormat="1" ht="14.25" customHeight="1" x14ac:dyDescent="0.3"/>
    <row r="111" s="7" customFormat="1" ht="14.25" customHeight="1" x14ac:dyDescent="0.3"/>
    <row r="112" s="7" customFormat="1" ht="14.25" customHeight="1" x14ac:dyDescent="0.3"/>
    <row r="113" s="7" customFormat="1" ht="14.25" customHeight="1" x14ac:dyDescent="0.3"/>
    <row r="114" s="7" customFormat="1" ht="14.25" customHeight="1" x14ac:dyDescent="0.3"/>
    <row r="115" s="7" customFormat="1" ht="14.25" customHeight="1" x14ac:dyDescent="0.3"/>
    <row r="116" s="7" customFormat="1" ht="14.25" customHeight="1" x14ac:dyDescent="0.3"/>
    <row r="117" s="7" customFormat="1" ht="14.25" customHeight="1" x14ac:dyDescent="0.3"/>
    <row r="118" s="7" customFormat="1" ht="14.25" customHeight="1" x14ac:dyDescent="0.3"/>
    <row r="119" s="7" customFormat="1" ht="14.25" customHeight="1" x14ac:dyDescent="0.3"/>
    <row r="120" s="7" customFormat="1" ht="14.25" customHeight="1" x14ac:dyDescent="0.3"/>
    <row r="121" s="7" customFormat="1" ht="14.25" customHeight="1" x14ac:dyDescent="0.3"/>
    <row r="122" s="7" customFormat="1" ht="14.25" customHeight="1" x14ac:dyDescent="0.3"/>
    <row r="123" s="7" customFormat="1" ht="14.25" customHeight="1" x14ac:dyDescent="0.3"/>
    <row r="124" s="7" customFormat="1" ht="14.25" customHeight="1" x14ac:dyDescent="0.3"/>
    <row r="125" s="7" customFormat="1" ht="14.25" customHeight="1" x14ac:dyDescent="0.3"/>
    <row r="126" s="7" customFormat="1" ht="14.25" customHeight="1" x14ac:dyDescent="0.3"/>
    <row r="127" s="7" customFormat="1" ht="14.25" customHeight="1" x14ac:dyDescent="0.3"/>
    <row r="128" s="7" customFormat="1" ht="14.25" customHeight="1" x14ac:dyDescent="0.3"/>
    <row r="129" s="7" customFormat="1" ht="14.25" customHeight="1" x14ac:dyDescent="0.3"/>
    <row r="130" s="7" customFormat="1" ht="14.25" customHeight="1" x14ac:dyDescent="0.3"/>
    <row r="131" s="7" customFormat="1" ht="14.25" customHeight="1" x14ac:dyDescent="0.3"/>
    <row r="132" s="7" customFormat="1" ht="14.25" customHeight="1" x14ac:dyDescent="0.3"/>
    <row r="133" s="7" customFormat="1" ht="14.25" customHeight="1" x14ac:dyDescent="0.3"/>
    <row r="134" s="7" customFormat="1" ht="14.25" customHeight="1" x14ac:dyDescent="0.3"/>
    <row r="135" s="7" customFormat="1" ht="14.25" customHeight="1" x14ac:dyDescent="0.3"/>
    <row r="136" s="7" customFormat="1" ht="14.25" customHeight="1" x14ac:dyDescent="0.3"/>
    <row r="137" s="7" customFormat="1" ht="14.25" customHeight="1" x14ac:dyDescent="0.3"/>
    <row r="138" s="7" customFormat="1" ht="14.25" customHeight="1" x14ac:dyDescent="0.3"/>
    <row r="139" s="7" customFormat="1" ht="14.25" customHeight="1" x14ac:dyDescent="0.3"/>
    <row r="140" s="7" customFormat="1" ht="14.25" customHeight="1" x14ac:dyDescent="0.3"/>
    <row r="141" s="7" customFormat="1" ht="14.25" customHeight="1" x14ac:dyDescent="0.3"/>
    <row r="142" s="7" customFormat="1" ht="14.25" customHeight="1" x14ac:dyDescent="0.3"/>
    <row r="143" s="7" customFormat="1" ht="14.25" customHeight="1" x14ac:dyDescent="0.3"/>
    <row r="144" s="7" customFormat="1" ht="14.25" customHeight="1" x14ac:dyDescent="0.3"/>
    <row r="145" s="7" customFormat="1" ht="14.25" customHeight="1" x14ac:dyDescent="0.3"/>
    <row r="146" s="7" customFormat="1" ht="14.25" customHeight="1" x14ac:dyDescent="0.3"/>
    <row r="147" s="7" customFormat="1" ht="14.25" customHeight="1" x14ac:dyDescent="0.3"/>
    <row r="148" s="7" customFormat="1" ht="14.25" customHeight="1" x14ac:dyDescent="0.3"/>
    <row r="149" s="7" customFormat="1" ht="14.25" customHeight="1" x14ac:dyDescent="0.3"/>
    <row r="150" s="7" customFormat="1" ht="14.25" customHeight="1" x14ac:dyDescent="0.3"/>
    <row r="151" s="7" customFormat="1" ht="14.25" customHeight="1" x14ac:dyDescent="0.3"/>
    <row r="152" s="7" customFormat="1" ht="14.25" customHeight="1" x14ac:dyDescent="0.3"/>
    <row r="153" s="7" customFormat="1" ht="14.25" customHeight="1" x14ac:dyDescent="0.3"/>
    <row r="154" s="7" customFormat="1" ht="14.25" customHeight="1" x14ac:dyDescent="0.3"/>
    <row r="155" s="7" customFormat="1" ht="14.25" customHeight="1" x14ac:dyDescent="0.3"/>
    <row r="156" s="7" customFormat="1" ht="14.25" customHeight="1" x14ac:dyDescent="0.3"/>
    <row r="157" s="7" customFormat="1" ht="14.25" customHeight="1" x14ac:dyDescent="0.3"/>
    <row r="158" s="7" customFormat="1" ht="14.25" customHeight="1" x14ac:dyDescent="0.3"/>
    <row r="159" s="7" customFormat="1" ht="14.25" customHeight="1" x14ac:dyDescent="0.3"/>
    <row r="160" s="7" customFormat="1" ht="14.25" customHeight="1" x14ac:dyDescent="0.3"/>
    <row r="161" s="7" customFormat="1" ht="14.25" customHeight="1" x14ac:dyDescent="0.3"/>
    <row r="162" s="7" customFormat="1" ht="14.25" customHeight="1" x14ac:dyDescent="0.3"/>
    <row r="163" s="7" customFormat="1" ht="14.25" customHeight="1" x14ac:dyDescent="0.3"/>
    <row r="164" s="7" customFormat="1" ht="14.25" customHeight="1" x14ac:dyDescent="0.3"/>
    <row r="165" s="7" customFormat="1" ht="14.25" customHeight="1" x14ac:dyDescent="0.3"/>
    <row r="166" s="7" customFormat="1" ht="14.25" customHeight="1" x14ac:dyDescent="0.3"/>
    <row r="167" s="7" customFormat="1" ht="14.25" customHeight="1" x14ac:dyDescent="0.3"/>
    <row r="168" s="7" customFormat="1" ht="14.25" customHeight="1" x14ac:dyDescent="0.3"/>
    <row r="169" s="7" customFormat="1" ht="14.25" customHeight="1" x14ac:dyDescent="0.3"/>
    <row r="170" s="7" customFormat="1" ht="14.25" customHeight="1" x14ac:dyDescent="0.3"/>
    <row r="171" s="7" customFormat="1" ht="14.25" customHeight="1" x14ac:dyDescent="0.3"/>
    <row r="172" s="7" customFormat="1" ht="14.25" customHeight="1" x14ac:dyDescent="0.3"/>
    <row r="173" s="7" customFormat="1" ht="14.25" customHeight="1" x14ac:dyDescent="0.3"/>
    <row r="174" s="7" customFormat="1" ht="14.25" customHeight="1" x14ac:dyDescent="0.3"/>
    <row r="175" s="7" customFormat="1" ht="14.25" customHeight="1" x14ac:dyDescent="0.3"/>
    <row r="176" s="7" customFormat="1" ht="14.25" customHeight="1" x14ac:dyDescent="0.3"/>
    <row r="177" s="7" customFormat="1" ht="14.25" customHeight="1" x14ac:dyDescent="0.3"/>
    <row r="178" s="7" customFormat="1" ht="14.25" customHeight="1" x14ac:dyDescent="0.3"/>
    <row r="179" s="7" customFormat="1" ht="14.25" customHeight="1" x14ac:dyDescent="0.3"/>
    <row r="180" s="7" customFormat="1" ht="14.25" customHeight="1" x14ac:dyDescent="0.3"/>
    <row r="181" s="7" customFormat="1" ht="14.25" customHeight="1" x14ac:dyDescent="0.3"/>
    <row r="182" s="7" customFormat="1" ht="14.25" customHeight="1" x14ac:dyDescent="0.3"/>
    <row r="183" s="7" customFormat="1" ht="14.25" customHeight="1" x14ac:dyDescent="0.3"/>
    <row r="184" s="7" customFormat="1" ht="14.25" customHeight="1" x14ac:dyDescent="0.3"/>
    <row r="185" s="7" customFormat="1" ht="14.25" customHeight="1" x14ac:dyDescent="0.3"/>
    <row r="186" s="7" customFormat="1" ht="14.25" customHeight="1" x14ac:dyDescent="0.3"/>
    <row r="187" s="7" customFormat="1" ht="14.25" customHeight="1" x14ac:dyDescent="0.3"/>
    <row r="188" s="7" customFormat="1" ht="14.25" customHeight="1" x14ac:dyDescent="0.3"/>
    <row r="189" s="7" customFormat="1" ht="14.25" customHeight="1" x14ac:dyDescent="0.3"/>
    <row r="190" s="7" customFormat="1" ht="14.25" customHeight="1" x14ac:dyDescent="0.3"/>
    <row r="191" s="7" customFormat="1" ht="14.25" customHeight="1" x14ac:dyDescent="0.3"/>
    <row r="192" s="7" customFormat="1" ht="14.25" customHeight="1" x14ac:dyDescent="0.3"/>
    <row r="193" s="7" customFormat="1" ht="14.25" customHeight="1" x14ac:dyDescent="0.3"/>
    <row r="194" s="7" customFormat="1" ht="14.25" customHeight="1" x14ac:dyDescent="0.3"/>
    <row r="195" s="7" customFormat="1" ht="14.25" customHeight="1" x14ac:dyDescent="0.3"/>
    <row r="196" s="7" customFormat="1" ht="14.25" customHeight="1" x14ac:dyDescent="0.3"/>
    <row r="197" s="7" customFormat="1" ht="14.25" customHeight="1" x14ac:dyDescent="0.3"/>
    <row r="198" s="7" customFormat="1" ht="14.25" customHeight="1" x14ac:dyDescent="0.3"/>
    <row r="199" s="7" customFormat="1" ht="14.25" customHeight="1" x14ac:dyDescent="0.3"/>
    <row r="200" s="7" customFormat="1" ht="14.25" customHeight="1" x14ac:dyDescent="0.3"/>
    <row r="201" s="7" customFormat="1" ht="14.25" customHeight="1" x14ac:dyDescent="0.3"/>
    <row r="202" s="7" customFormat="1" ht="14.25" customHeight="1" x14ac:dyDescent="0.3"/>
    <row r="203" s="7" customFormat="1" ht="14.25" customHeight="1" x14ac:dyDescent="0.3"/>
    <row r="204" s="7" customFormat="1" ht="14.25" customHeight="1" x14ac:dyDescent="0.3"/>
    <row r="205" s="7" customFormat="1" ht="14.25" customHeight="1" x14ac:dyDescent="0.3"/>
    <row r="206" s="7" customFormat="1" ht="14.25" customHeight="1" x14ac:dyDescent="0.3"/>
    <row r="207" s="7" customFormat="1" ht="14.25" customHeight="1" x14ac:dyDescent="0.3"/>
    <row r="208" s="7" customFormat="1" ht="14.25" customHeight="1" x14ac:dyDescent="0.3"/>
    <row r="209" s="7" customFormat="1" ht="14.25" customHeight="1" x14ac:dyDescent="0.3"/>
    <row r="210" s="7" customFormat="1" ht="14.25" customHeight="1" x14ac:dyDescent="0.3"/>
    <row r="211" s="7" customFormat="1" ht="14.25" customHeight="1" x14ac:dyDescent="0.3"/>
    <row r="212" s="7" customFormat="1" ht="14.25" customHeight="1" x14ac:dyDescent="0.3"/>
    <row r="213" s="7" customFormat="1" ht="14.25" customHeight="1" x14ac:dyDescent="0.3"/>
    <row r="214" s="7" customFormat="1" ht="14.25" customHeight="1" x14ac:dyDescent="0.3"/>
    <row r="215" s="7" customFormat="1" ht="14.25" customHeight="1" x14ac:dyDescent="0.3"/>
    <row r="216" s="7" customFormat="1" ht="14.25" customHeight="1" x14ac:dyDescent="0.3"/>
    <row r="217" s="7" customFormat="1" ht="14.25" customHeight="1" x14ac:dyDescent="0.3"/>
    <row r="218" s="7" customFormat="1" ht="14.25" customHeight="1" x14ac:dyDescent="0.3"/>
    <row r="219" s="7" customFormat="1" ht="14.25" customHeight="1" x14ac:dyDescent="0.3"/>
    <row r="220" s="7" customFormat="1" ht="14.25" customHeight="1" x14ac:dyDescent="0.3"/>
    <row r="221" s="7" customFormat="1" ht="14.25" customHeight="1" x14ac:dyDescent="0.3"/>
    <row r="222" s="7" customFormat="1" ht="14.25" customHeight="1" x14ac:dyDescent="0.3"/>
    <row r="223" s="7" customFormat="1" ht="14.25" customHeight="1" x14ac:dyDescent="0.3"/>
    <row r="224" s="7" customFormat="1" ht="14.25" customHeight="1" x14ac:dyDescent="0.3"/>
    <row r="225" s="7" customFormat="1" ht="14.25" customHeight="1" x14ac:dyDescent="0.3"/>
    <row r="226" s="7" customFormat="1" ht="14.25" customHeight="1" x14ac:dyDescent="0.3"/>
    <row r="227" s="7" customFormat="1" ht="14.25" customHeight="1" x14ac:dyDescent="0.3"/>
    <row r="228" s="7" customFormat="1" ht="14.25" customHeight="1" x14ac:dyDescent="0.3"/>
    <row r="229" s="7" customFormat="1" ht="14.25" customHeight="1" x14ac:dyDescent="0.3"/>
    <row r="230" s="7" customFormat="1" ht="14.25" customHeight="1" x14ac:dyDescent="0.3"/>
    <row r="231" s="7" customFormat="1" ht="14.25" customHeight="1" x14ac:dyDescent="0.3"/>
    <row r="232" s="7" customFormat="1" ht="14.25" customHeight="1" x14ac:dyDescent="0.3"/>
    <row r="233" s="7" customFormat="1" ht="14.25" customHeight="1" x14ac:dyDescent="0.3"/>
    <row r="234" s="7" customFormat="1" ht="14.25" customHeight="1" x14ac:dyDescent="0.3"/>
    <row r="235" s="7" customFormat="1" ht="14.25" customHeight="1" x14ac:dyDescent="0.3"/>
    <row r="236" s="7" customFormat="1" ht="14.25" customHeight="1" x14ac:dyDescent="0.3"/>
    <row r="237" s="7" customFormat="1" ht="14.25" customHeight="1" x14ac:dyDescent="0.3"/>
    <row r="238" s="7" customFormat="1" ht="14.25" customHeight="1" x14ac:dyDescent="0.3"/>
    <row r="239" s="7" customFormat="1" ht="14.25" customHeight="1" x14ac:dyDescent="0.3"/>
    <row r="240" s="7" customFormat="1" ht="14.25" customHeight="1" x14ac:dyDescent="0.3"/>
    <row r="241" s="7" customFormat="1" ht="14.25" customHeight="1" x14ac:dyDescent="0.3"/>
    <row r="242" s="7" customFormat="1" ht="14.25" customHeight="1" x14ac:dyDescent="0.3"/>
    <row r="243" s="7" customFormat="1" ht="14.25" customHeight="1" x14ac:dyDescent="0.3"/>
    <row r="244" s="7" customFormat="1" ht="14.25" customHeight="1" x14ac:dyDescent="0.3"/>
    <row r="245" s="7" customFormat="1" ht="14.25" customHeight="1" x14ac:dyDescent="0.3"/>
    <row r="246" s="7" customFormat="1" ht="14.25" customHeight="1" x14ac:dyDescent="0.3"/>
    <row r="247" s="7" customFormat="1" ht="14.25" customHeight="1" x14ac:dyDescent="0.3"/>
    <row r="248" s="7" customFormat="1" ht="14.25" customHeight="1" x14ac:dyDescent="0.3"/>
    <row r="249" s="7" customFormat="1" ht="14.25" customHeight="1" x14ac:dyDescent="0.3"/>
    <row r="250" s="7" customFormat="1" ht="14.25" customHeight="1" x14ac:dyDescent="0.3"/>
    <row r="251" s="7" customFormat="1" ht="14.25" customHeight="1" x14ac:dyDescent="0.3"/>
    <row r="252" s="7" customFormat="1" ht="14.25" customHeight="1" x14ac:dyDescent="0.3"/>
    <row r="253" s="7" customFormat="1" ht="14.25" customHeight="1" x14ac:dyDescent="0.3"/>
    <row r="254" s="7" customFormat="1" ht="14.25" customHeight="1" x14ac:dyDescent="0.3"/>
    <row r="255" s="7" customFormat="1" ht="14.25" customHeight="1" x14ac:dyDescent="0.3"/>
    <row r="256" s="7" customFormat="1" ht="14.25" customHeight="1" x14ac:dyDescent="0.3"/>
    <row r="257" s="7" customFormat="1" ht="14.25" customHeight="1" x14ac:dyDescent="0.3"/>
    <row r="258" s="7" customFormat="1" ht="14.25" customHeight="1" x14ac:dyDescent="0.3"/>
    <row r="259" s="7" customFormat="1" ht="14.25" customHeight="1" x14ac:dyDescent="0.3"/>
    <row r="260" s="7" customFormat="1" ht="14.25" customHeight="1" x14ac:dyDescent="0.3"/>
    <row r="261" s="7" customFormat="1" ht="14.25" customHeight="1" x14ac:dyDescent="0.3"/>
    <row r="262" s="7" customFormat="1" ht="14.25" customHeight="1" x14ac:dyDescent="0.3"/>
    <row r="263" s="7" customFormat="1" ht="14.25" customHeight="1" x14ac:dyDescent="0.3"/>
    <row r="264" s="7" customFormat="1" ht="14.25" customHeight="1" x14ac:dyDescent="0.3"/>
    <row r="265" s="7" customFormat="1" ht="14.25" customHeight="1" x14ac:dyDescent="0.3"/>
    <row r="266" s="7" customFormat="1" ht="14.25" customHeight="1" x14ac:dyDescent="0.3"/>
    <row r="267" s="7" customFormat="1" ht="14.25" customHeight="1" x14ac:dyDescent="0.3"/>
    <row r="268" s="7" customFormat="1" ht="14.25" customHeight="1" x14ac:dyDescent="0.3"/>
    <row r="269" s="7" customFormat="1" ht="14.25" customHeight="1" x14ac:dyDescent="0.3"/>
    <row r="270" s="7" customFormat="1" ht="14.25" customHeight="1" x14ac:dyDescent="0.3"/>
    <row r="271" s="7" customFormat="1" ht="14.25" customHeight="1" x14ac:dyDescent="0.3"/>
    <row r="272" s="7" customFormat="1" ht="14.25" customHeight="1" x14ac:dyDescent="0.3"/>
    <row r="273" s="7" customFormat="1" ht="14.25" customHeight="1" x14ac:dyDescent="0.3"/>
    <row r="274" s="7" customFormat="1" ht="14.25" customHeight="1" x14ac:dyDescent="0.3"/>
    <row r="275" s="7" customFormat="1" ht="14.25" customHeight="1" x14ac:dyDescent="0.3"/>
    <row r="276" s="7" customFormat="1" ht="14.25" customHeight="1" x14ac:dyDescent="0.3"/>
    <row r="277" s="7" customFormat="1" ht="14.25" customHeight="1" x14ac:dyDescent="0.3"/>
    <row r="278" s="7" customFormat="1" ht="14.25" customHeight="1" x14ac:dyDescent="0.3"/>
    <row r="279" s="7" customFormat="1" ht="14.25" customHeight="1" x14ac:dyDescent="0.3"/>
    <row r="280" s="7" customFormat="1" ht="14.25" customHeight="1" x14ac:dyDescent="0.3"/>
    <row r="281" s="7" customFormat="1" ht="14.25" customHeight="1" x14ac:dyDescent="0.3"/>
    <row r="282" s="7" customFormat="1" ht="14.25" customHeight="1" x14ac:dyDescent="0.3"/>
    <row r="283" s="7" customFormat="1" ht="14.25" customHeight="1" x14ac:dyDescent="0.3"/>
    <row r="284" s="7" customFormat="1" ht="14.25" customHeight="1" x14ac:dyDescent="0.3"/>
    <row r="285" s="7" customFormat="1" ht="14.25" customHeight="1" x14ac:dyDescent="0.3"/>
    <row r="286" s="7" customFormat="1" ht="14.25" customHeight="1" x14ac:dyDescent="0.3"/>
    <row r="287" s="7" customFormat="1" ht="14.25" customHeight="1" x14ac:dyDescent="0.3"/>
    <row r="288" s="7" customFormat="1" ht="14.25" customHeight="1" x14ac:dyDescent="0.3"/>
    <row r="289" s="7" customFormat="1" ht="14.25" customHeight="1" x14ac:dyDescent="0.3"/>
    <row r="290" s="7" customFormat="1" ht="14.25" customHeight="1" x14ac:dyDescent="0.3"/>
    <row r="291" s="7" customFormat="1" ht="14.25" customHeight="1" x14ac:dyDescent="0.3"/>
    <row r="292" s="7" customFormat="1" ht="14.25" customHeight="1" x14ac:dyDescent="0.3"/>
    <row r="293" s="7" customFormat="1" ht="14.25" customHeight="1" x14ac:dyDescent="0.3"/>
    <row r="294" s="7" customFormat="1" ht="14.25" customHeight="1" x14ac:dyDescent="0.3"/>
    <row r="295" s="7" customFormat="1" ht="14.25" customHeight="1" x14ac:dyDescent="0.3"/>
    <row r="296" s="7" customFormat="1" ht="14.25" customHeight="1" x14ac:dyDescent="0.3"/>
    <row r="297" s="7" customFormat="1" ht="14.25" customHeight="1" x14ac:dyDescent="0.3"/>
    <row r="298" s="7" customFormat="1" ht="14.25" customHeight="1" x14ac:dyDescent="0.3"/>
    <row r="299" s="7" customFormat="1" ht="14.25" customHeight="1" x14ac:dyDescent="0.3"/>
    <row r="300" s="7" customFormat="1" ht="14.25" customHeight="1" x14ac:dyDescent="0.3"/>
    <row r="301" s="7" customFormat="1" ht="14.25" customHeight="1" x14ac:dyDescent="0.3"/>
    <row r="302" s="7" customFormat="1" ht="14.25" customHeight="1" x14ac:dyDescent="0.3"/>
    <row r="303" s="7" customFormat="1" ht="14.25" customHeight="1" x14ac:dyDescent="0.3"/>
    <row r="304" s="7" customFormat="1" ht="14.25" customHeight="1" x14ac:dyDescent="0.3"/>
    <row r="305" s="7" customFormat="1" ht="14.25" customHeight="1" x14ac:dyDescent="0.3"/>
    <row r="306" s="7" customFormat="1" ht="14.25" customHeight="1" x14ac:dyDescent="0.3"/>
    <row r="307" s="7" customFormat="1" ht="14.25" customHeight="1" x14ac:dyDescent="0.3"/>
    <row r="308" s="7" customFormat="1" ht="14.25" customHeight="1" x14ac:dyDescent="0.3"/>
    <row r="309" s="7" customFormat="1" ht="14.25" customHeight="1" x14ac:dyDescent="0.3"/>
    <row r="310" s="7" customFormat="1" ht="14.25" customHeight="1" x14ac:dyDescent="0.3"/>
    <row r="311" s="7" customFormat="1" ht="14.25" customHeight="1" x14ac:dyDescent="0.3"/>
    <row r="312" s="7" customFormat="1" ht="14.25" customHeight="1" x14ac:dyDescent="0.3"/>
    <row r="313" s="7" customFormat="1" ht="14.25" customHeight="1" x14ac:dyDescent="0.3"/>
    <row r="314" s="7" customFormat="1" ht="14.25" customHeight="1" x14ac:dyDescent="0.3"/>
    <row r="315" s="7" customFormat="1" ht="14.25" customHeight="1" x14ac:dyDescent="0.3"/>
    <row r="316" s="7" customFormat="1" ht="14.25" customHeight="1" x14ac:dyDescent="0.3"/>
    <row r="317" s="7" customFormat="1" ht="14.25" customHeight="1" x14ac:dyDescent="0.3"/>
    <row r="318" s="7" customFormat="1" ht="14.25" customHeight="1" x14ac:dyDescent="0.3"/>
    <row r="319" s="7" customFormat="1" ht="14.25" customHeight="1" x14ac:dyDescent="0.3"/>
    <row r="320" s="7" customFormat="1" ht="14.25" customHeight="1" x14ac:dyDescent="0.3"/>
    <row r="321" s="7" customFormat="1" ht="14.25" customHeight="1" x14ac:dyDescent="0.3"/>
    <row r="322" s="7" customFormat="1" ht="14.25" customHeight="1" x14ac:dyDescent="0.3"/>
    <row r="323" s="7" customFormat="1" ht="14.25" customHeight="1" x14ac:dyDescent="0.3"/>
    <row r="324" s="7" customFormat="1" ht="14.25" customHeight="1" x14ac:dyDescent="0.3"/>
    <row r="325" s="7" customFormat="1" ht="14.25" customHeight="1" x14ac:dyDescent="0.3"/>
    <row r="326" s="7" customFormat="1" ht="14.25" customHeight="1" x14ac:dyDescent="0.3"/>
    <row r="327" s="7" customFormat="1" ht="14.25" customHeight="1" x14ac:dyDescent="0.3"/>
    <row r="328" s="7" customFormat="1" ht="14.25" customHeight="1" x14ac:dyDescent="0.3"/>
    <row r="329" s="7" customFormat="1" ht="14.25" customHeight="1" x14ac:dyDescent="0.3"/>
    <row r="330" s="7" customFormat="1" ht="14.25" customHeight="1" x14ac:dyDescent="0.3"/>
    <row r="331" s="7" customFormat="1" ht="14.25" customHeight="1" x14ac:dyDescent="0.3"/>
    <row r="332" s="7" customFormat="1" ht="14.25" customHeight="1" x14ac:dyDescent="0.3"/>
    <row r="333" s="7" customFormat="1" ht="14.25" customHeight="1" x14ac:dyDescent="0.3"/>
    <row r="334" s="7" customFormat="1" ht="14.25" customHeight="1" x14ac:dyDescent="0.3"/>
    <row r="335" s="7" customFormat="1" ht="14.25" customHeight="1" x14ac:dyDescent="0.3"/>
    <row r="336" s="7" customFormat="1" ht="14.25" customHeight="1" x14ac:dyDescent="0.3"/>
    <row r="337" s="7" customFormat="1" ht="14.25" customHeight="1" x14ac:dyDescent="0.3"/>
    <row r="338" s="7" customFormat="1" ht="14.25" customHeight="1" x14ac:dyDescent="0.3"/>
    <row r="339" s="7" customFormat="1" ht="14.25" customHeight="1" x14ac:dyDescent="0.3"/>
    <row r="340" s="7" customFormat="1" ht="14.25" customHeight="1" x14ac:dyDescent="0.3"/>
    <row r="341" s="7" customFormat="1" ht="14.25" customHeight="1" x14ac:dyDescent="0.3"/>
    <row r="342" s="7" customFormat="1" ht="14.25" customHeight="1" x14ac:dyDescent="0.3"/>
    <row r="343" s="7" customFormat="1" ht="14.25" customHeight="1" x14ac:dyDescent="0.3"/>
    <row r="344" s="7" customFormat="1" ht="14.25" customHeight="1" x14ac:dyDescent="0.3"/>
    <row r="345" s="7" customFormat="1" ht="14.25" customHeight="1" x14ac:dyDescent="0.3"/>
    <row r="346" s="7" customFormat="1" ht="14.25" customHeight="1" x14ac:dyDescent="0.3"/>
    <row r="347" s="7" customFormat="1" ht="14.25" customHeight="1" x14ac:dyDescent="0.3"/>
    <row r="348" s="7" customFormat="1" ht="14.25" customHeight="1" x14ac:dyDescent="0.3"/>
    <row r="349" s="7" customFormat="1" ht="14.25" customHeight="1" x14ac:dyDescent="0.3"/>
    <row r="350" s="7" customFormat="1" ht="14.25" customHeight="1" x14ac:dyDescent="0.3"/>
    <row r="351" s="7" customFormat="1" ht="14.25" customHeight="1" x14ac:dyDescent="0.3"/>
    <row r="352" s="7" customFormat="1" ht="14.25" customHeight="1" x14ac:dyDescent="0.3"/>
    <row r="353" s="7" customFormat="1" ht="14.25" customHeight="1" x14ac:dyDescent="0.3"/>
    <row r="354" s="7" customFormat="1" ht="14.25" customHeight="1" x14ac:dyDescent="0.3"/>
    <row r="355" s="7" customFormat="1" ht="14.25" customHeight="1" x14ac:dyDescent="0.3"/>
    <row r="356" s="7" customFormat="1" ht="14.25" customHeight="1" x14ac:dyDescent="0.3"/>
    <row r="357" s="7" customFormat="1" ht="14.25" customHeight="1" x14ac:dyDescent="0.3"/>
    <row r="358" s="7" customFormat="1" ht="14.25" customHeight="1" x14ac:dyDescent="0.3"/>
    <row r="359" s="7" customFormat="1" ht="14.25" customHeight="1" x14ac:dyDescent="0.3"/>
    <row r="360" s="7" customFormat="1" ht="14.25" customHeight="1" x14ac:dyDescent="0.3"/>
    <row r="361" s="7" customFormat="1" ht="14.25" customHeight="1" x14ac:dyDescent="0.3"/>
    <row r="362" s="7" customFormat="1" ht="14.25" customHeight="1" x14ac:dyDescent="0.3"/>
    <row r="363" s="7" customFormat="1" ht="14.25" customHeight="1" x14ac:dyDescent="0.3"/>
    <row r="364" s="7" customFormat="1" ht="14.25" customHeight="1" x14ac:dyDescent="0.3"/>
    <row r="365" s="7" customFormat="1" ht="14.25" customHeight="1" x14ac:dyDescent="0.3"/>
    <row r="366" s="7" customFormat="1" ht="14.25" customHeight="1" x14ac:dyDescent="0.3"/>
    <row r="367" s="7" customFormat="1" ht="14.25" customHeight="1" x14ac:dyDescent="0.3"/>
    <row r="368" s="7" customFormat="1" ht="14.25" customHeight="1" x14ac:dyDescent="0.3"/>
    <row r="369" s="7" customFormat="1" ht="14.25" customHeight="1" x14ac:dyDescent="0.3"/>
    <row r="370" s="7" customFormat="1" ht="14.25" customHeight="1" x14ac:dyDescent="0.3"/>
    <row r="371" s="7" customFormat="1" ht="14.25" customHeight="1" x14ac:dyDescent="0.3"/>
    <row r="372" s="7" customFormat="1" ht="14.25" customHeight="1" x14ac:dyDescent="0.3"/>
    <row r="373" s="7" customFormat="1" ht="14.25" customHeight="1" x14ac:dyDescent="0.3"/>
    <row r="374" s="7" customFormat="1" ht="14.25" customHeight="1" x14ac:dyDescent="0.3"/>
    <row r="375" s="7" customFormat="1" ht="14.25" customHeight="1" x14ac:dyDescent="0.3"/>
    <row r="376" s="7" customFormat="1" ht="14.25" customHeight="1" x14ac:dyDescent="0.3"/>
    <row r="377" s="7" customFormat="1" ht="14.25" customHeight="1" x14ac:dyDescent="0.3"/>
    <row r="378" s="7" customFormat="1" ht="14.25" customHeight="1" x14ac:dyDescent="0.3"/>
    <row r="379" s="7" customFormat="1" ht="14.25" customHeight="1" x14ac:dyDescent="0.3"/>
    <row r="380" s="7" customFormat="1" ht="14.25" customHeight="1" x14ac:dyDescent="0.3"/>
    <row r="381" s="7" customFormat="1" ht="14.25" customHeight="1" x14ac:dyDescent="0.3"/>
    <row r="382" s="7" customFormat="1" ht="14.25" customHeight="1" x14ac:dyDescent="0.3"/>
    <row r="383" s="7" customFormat="1" ht="14.25" customHeight="1" x14ac:dyDescent="0.3"/>
    <row r="384" s="7" customFormat="1" ht="14.25" customHeight="1" x14ac:dyDescent="0.3"/>
    <row r="385" s="7" customFormat="1" ht="14.25" customHeight="1" x14ac:dyDescent="0.3"/>
    <row r="386" s="7" customFormat="1" ht="14.25" customHeight="1" x14ac:dyDescent="0.3"/>
    <row r="387" s="7" customFormat="1" ht="14.25" customHeight="1" x14ac:dyDescent="0.3"/>
    <row r="388" s="7" customFormat="1" ht="14.25" customHeight="1" x14ac:dyDescent="0.3"/>
    <row r="389" s="7" customFormat="1" ht="14.25" customHeight="1" x14ac:dyDescent="0.3"/>
    <row r="390" s="7" customFormat="1" ht="14.25" customHeight="1" x14ac:dyDescent="0.3"/>
    <row r="391" s="7" customFormat="1" ht="14.25" customHeight="1" x14ac:dyDescent="0.3"/>
    <row r="392" s="7" customFormat="1" ht="14.25" customHeight="1" x14ac:dyDescent="0.3"/>
    <row r="393" s="7" customFormat="1" ht="14.25" customHeight="1" x14ac:dyDescent="0.3"/>
    <row r="394" s="7" customFormat="1" ht="14.25" customHeight="1" x14ac:dyDescent="0.3"/>
    <row r="395" s="7" customFormat="1" ht="14.25" customHeight="1" x14ac:dyDescent="0.3"/>
    <row r="396" s="7" customFormat="1" ht="14.25" customHeight="1" x14ac:dyDescent="0.3"/>
    <row r="397" s="7" customFormat="1" ht="14.25" customHeight="1" x14ac:dyDescent="0.3"/>
    <row r="398" s="7" customFormat="1" ht="14.25" customHeight="1" x14ac:dyDescent="0.3"/>
    <row r="399" s="7" customFormat="1" ht="14.25" customHeight="1" x14ac:dyDescent="0.3"/>
    <row r="400" s="7" customFormat="1" ht="14.25" customHeight="1" x14ac:dyDescent="0.3"/>
    <row r="401" s="7" customFormat="1" ht="14.25" customHeight="1" x14ac:dyDescent="0.3"/>
    <row r="402" s="7" customFormat="1" ht="14.25" customHeight="1" x14ac:dyDescent="0.3"/>
    <row r="403" s="7" customFormat="1" ht="14.25" customHeight="1" x14ac:dyDescent="0.3"/>
    <row r="404" s="7" customFormat="1" ht="14.25" customHeight="1" x14ac:dyDescent="0.3"/>
    <row r="405" s="7" customFormat="1" ht="14.25" customHeight="1" x14ac:dyDescent="0.3"/>
    <row r="406" s="7" customFormat="1" ht="14.25" customHeight="1" x14ac:dyDescent="0.3"/>
    <row r="407" s="7" customFormat="1" ht="14.25" customHeight="1" x14ac:dyDescent="0.3"/>
    <row r="408" s="7" customFormat="1" ht="14.25" customHeight="1" x14ac:dyDescent="0.3"/>
    <row r="409" s="7" customFormat="1" ht="14.25" customHeight="1" x14ac:dyDescent="0.3"/>
    <row r="410" s="7" customFormat="1" ht="14.25" customHeight="1" x14ac:dyDescent="0.3"/>
    <row r="411" s="7" customFormat="1" ht="14.25" customHeight="1" x14ac:dyDescent="0.3"/>
    <row r="412" s="7" customFormat="1" ht="14.25" customHeight="1" x14ac:dyDescent="0.3"/>
    <row r="413" s="7" customFormat="1" ht="14.25" customHeight="1" x14ac:dyDescent="0.3"/>
    <row r="414" s="7" customFormat="1" ht="14.25" customHeight="1" x14ac:dyDescent="0.3"/>
    <row r="415" s="7" customFormat="1" ht="14.25" customHeight="1" x14ac:dyDescent="0.3"/>
    <row r="416" s="7" customFormat="1" ht="14.25" customHeight="1" x14ac:dyDescent="0.3"/>
    <row r="417" s="7" customFormat="1" ht="14.25" customHeight="1" x14ac:dyDescent="0.3"/>
    <row r="418" s="7" customFormat="1" ht="14.25" customHeight="1" x14ac:dyDescent="0.3"/>
    <row r="419" s="7" customFormat="1" ht="14.25" customHeight="1" x14ac:dyDescent="0.3"/>
    <row r="420" s="7" customFormat="1" ht="14.25" customHeight="1" x14ac:dyDescent="0.3"/>
    <row r="421" s="7" customFormat="1" ht="14.25" customHeight="1" x14ac:dyDescent="0.3"/>
    <row r="422" s="7" customFormat="1" ht="14.25" customHeight="1" x14ac:dyDescent="0.3"/>
    <row r="423" s="7" customFormat="1" ht="14.25" customHeight="1" x14ac:dyDescent="0.3"/>
    <row r="424" s="7" customFormat="1" ht="14.25" customHeight="1" x14ac:dyDescent="0.3"/>
    <row r="425" s="7" customFormat="1" ht="14.25" customHeight="1" x14ac:dyDescent="0.3"/>
    <row r="426" s="7" customFormat="1" ht="14.25" customHeight="1" x14ac:dyDescent="0.3"/>
    <row r="427" s="7" customFormat="1" ht="14.25" customHeight="1" x14ac:dyDescent="0.3"/>
    <row r="428" s="7" customFormat="1" ht="14.25" customHeight="1" x14ac:dyDescent="0.3"/>
    <row r="429" s="7" customFormat="1" ht="14.25" customHeight="1" x14ac:dyDescent="0.3"/>
    <row r="430" s="7" customFormat="1" ht="14.25" customHeight="1" x14ac:dyDescent="0.3"/>
    <row r="431" s="7" customFormat="1" ht="14.25" customHeight="1" x14ac:dyDescent="0.3"/>
    <row r="432" s="7" customFormat="1" ht="14.25" customHeight="1" x14ac:dyDescent="0.3"/>
    <row r="433" s="7" customFormat="1" ht="14.25" customHeight="1" x14ac:dyDescent="0.3"/>
    <row r="434" s="7" customFormat="1" ht="14.25" customHeight="1" x14ac:dyDescent="0.3"/>
    <row r="435" s="7" customFormat="1" ht="14.25" customHeight="1" x14ac:dyDescent="0.3"/>
    <row r="436" s="7" customFormat="1" ht="14.25" customHeight="1" x14ac:dyDescent="0.3"/>
    <row r="437" s="7" customFormat="1" ht="14.25" customHeight="1" x14ac:dyDescent="0.3"/>
    <row r="438" s="7" customFormat="1" ht="14.25" customHeight="1" x14ac:dyDescent="0.3"/>
    <row r="439" s="7" customFormat="1" ht="14.25" customHeight="1" x14ac:dyDescent="0.3"/>
    <row r="440" s="7" customFormat="1" ht="14.25" customHeight="1" x14ac:dyDescent="0.3"/>
    <row r="441" s="7" customFormat="1" ht="14.25" customHeight="1" x14ac:dyDescent="0.3"/>
    <row r="442" s="7" customFormat="1" ht="14.25" customHeight="1" x14ac:dyDescent="0.3"/>
    <row r="443" s="7" customFormat="1" ht="14.25" customHeight="1" x14ac:dyDescent="0.3"/>
    <row r="444" s="7" customFormat="1" ht="14.25" customHeight="1" x14ac:dyDescent="0.3"/>
    <row r="445" s="7" customFormat="1" ht="14.25" customHeight="1" x14ac:dyDescent="0.3"/>
    <row r="446" s="7" customFormat="1" ht="14.25" customHeight="1" x14ac:dyDescent="0.3"/>
    <row r="447" s="7" customFormat="1" ht="14.25" customHeight="1" x14ac:dyDescent="0.3"/>
    <row r="448" s="7" customFormat="1" ht="14.25" customHeight="1" x14ac:dyDescent="0.3"/>
    <row r="449" s="7" customFormat="1" ht="14.25" customHeight="1" x14ac:dyDescent="0.3"/>
    <row r="450" s="7" customFormat="1" ht="14.25" customHeight="1" x14ac:dyDescent="0.3"/>
    <row r="451" s="7" customFormat="1" ht="14.25" customHeight="1" x14ac:dyDescent="0.3"/>
    <row r="452" s="7" customFormat="1" ht="14.25" customHeight="1" x14ac:dyDescent="0.3"/>
    <row r="453" s="7" customFormat="1" ht="14.25" customHeight="1" x14ac:dyDescent="0.3"/>
    <row r="454" s="7" customFormat="1" ht="14.25" customHeight="1" x14ac:dyDescent="0.3"/>
    <row r="455" s="7" customFormat="1" ht="14.25" customHeight="1" x14ac:dyDescent="0.3"/>
    <row r="456" s="7" customFormat="1" ht="14.25" customHeight="1" x14ac:dyDescent="0.3"/>
    <row r="457" s="7" customFormat="1" ht="14.25" customHeight="1" x14ac:dyDescent="0.3"/>
    <row r="458" s="7" customFormat="1" ht="14.25" customHeight="1" x14ac:dyDescent="0.3"/>
    <row r="459" s="7" customFormat="1" ht="14.25" customHeight="1" x14ac:dyDescent="0.3"/>
    <row r="460" s="7" customFormat="1" ht="14.25" customHeight="1" x14ac:dyDescent="0.3"/>
    <row r="461" s="7" customFormat="1" ht="14.25" customHeight="1" x14ac:dyDescent="0.3"/>
    <row r="462" s="7" customFormat="1" ht="14.25" customHeight="1" x14ac:dyDescent="0.3"/>
    <row r="463" s="7" customFormat="1" ht="14.25" customHeight="1" x14ac:dyDescent="0.3"/>
    <row r="464" s="7" customFormat="1" ht="14.25" customHeight="1" x14ac:dyDescent="0.3"/>
    <row r="465" s="7" customFormat="1" ht="14.25" customHeight="1" x14ac:dyDescent="0.3"/>
    <row r="466" s="7" customFormat="1" ht="14.25" customHeight="1" x14ac:dyDescent="0.3"/>
    <row r="467" s="7" customFormat="1" ht="14.25" customHeight="1" x14ac:dyDescent="0.3"/>
    <row r="468" s="7" customFormat="1" ht="14.25" customHeight="1" x14ac:dyDescent="0.3"/>
    <row r="469" s="7" customFormat="1" ht="14.25" customHeight="1" x14ac:dyDescent="0.3"/>
    <row r="470" s="7" customFormat="1" ht="14.25" customHeight="1" x14ac:dyDescent="0.3"/>
    <row r="471" s="7" customFormat="1" ht="14.25" customHeight="1" x14ac:dyDescent="0.3"/>
    <row r="472" s="7" customFormat="1" ht="14.25" customHeight="1" x14ac:dyDescent="0.3"/>
    <row r="473" s="7" customFormat="1" ht="14.25" customHeight="1" x14ac:dyDescent="0.3"/>
    <row r="474" s="7" customFormat="1" ht="14.25" customHeight="1" x14ac:dyDescent="0.3"/>
    <row r="475" s="7" customFormat="1" ht="14.25" customHeight="1" x14ac:dyDescent="0.3"/>
    <row r="476" s="7" customFormat="1" ht="14.25" customHeight="1" x14ac:dyDescent="0.3"/>
    <row r="477" s="7" customFormat="1" ht="14.25" customHeight="1" x14ac:dyDescent="0.3"/>
    <row r="478" s="7" customFormat="1" ht="14.25" customHeight="1" x14ac:dyDescent="0.3"/>
    <row r="479" s="7" customFormat="1" ht="14.25" customHeight="1" x14ac:dyDescent="0.3"/>
    <row r="480" s="7" customFormat="1" ht="14.25" customHeight="1" x14ac:dyDescent="0.3"/>
    <row r="481" s="7" customFormat="1" ht="14.25" customHeight="1" x14ac:dyDescent="0.3"/>
    <row r="482" s="7" customFormat="1" ht="14.25" customHeight="1" x14ac:dyDescent="0.3"/>
    <row r="483" s="7" customFormat="1" ht="14.25" customHeight="1" x14ac:dyDescent="0.3"/>
    <row r="484" s="7" customFormat="1" ht="14.25" customHeight="1" x14ac:dyDescent="0.3"/>
    <row r="485" s="7" customFormat="1" ht="14.25" customHeight="1" x14ac:dyDescent="0.3"/>
    <row r="486" s="7" customFormat="1" ht="14.25" customHeight="1" x14ac:dyDescent="0.3"/>
    <row r="487" s="7" customFormat="1" ht="14.25" customHeight="1" x14ac:dyDescent="0.3"/>
    <row r="488" s="7" customFormat="1" ht="14.25" customHeight="1" x14ac:dyDescent="0.3"/>
    <row r="489" s="7" customFormat="1" ht="14.25" customHeight="1" x14ac:dyDescent="0.3"/>
    <row r="490" s="7" customFormat="1" ht="14.25" customHeight="1" x14ac:dyDescent="0.3"/>
    <row r="491" s="7" customFormat="1" ht="14.25" customHeight="1" x14ac:dyDescent="0.3"/>
    <row r="492" s="7" customFormat="1" ht="14.25" customHeight="1" x14ac:dyDescent="0.3"/>
    <row r="493" s="7" customFormat="1" ht="14.25" customHeight="1" x14ac:dyDescent="0.3"/>
    <row r="494" s="7" customFormat="1" ht="14.25" customHeight="1" x14ac:dyDescent="0.3"/>
    <row r="495" s="7" customFormat="1" ht="14.25" customHeight="1" x14ac:dyDescent="0.3"/>
    <row r="496" s="7" customFormat="1" ht="14.25" customHeight="1" x14ac:dyDescent="0.3"/>
    <row r="497" s="7" customFormat="1" ht="14.25" customHeight="1" x14ac:dyDescent="0.3"/>
    <row r="498" s="7" customFormat="1" ht="14.25" customHeight="1" x14ac:dyDescent="0.3"/>
    <row r="499" s="7" customFormat="1" ht="14.25" customHeight="1" x14ac:dyDescent="0.3"/>
    <row r="500" s="7" customFormat="1" ht="14.25" customHeight="1" x14ac:dyDescent="0.3"/>
    <row r="501" s="7" customFormat="1" ht="14.25" customHeight="1" x14ac:dyDescent="0.3"/>
    <row r="502" s="7" customFormat="1" ht="14.25" customHeight="1" x14ac:dyDescent="0.3"/>
    <row r="503" s="7" customFormat="1" ht="14.25" customHeight="1" x14ac:dyDescent="0.3"/>
    <row r="504" s="7" customFormat="1" ht="14.25" customHeight="1" x14ac:dyDescent="0.3"/>
    <row r="505" s="7" customFormat="1" ht="14.25" customHeight="1" x14ac:dyDescent="0.3"/>
    <row r="506" s="7" customFormat="1" ht="14.25" customHeight="1" x14ac:dyDescent="0.3"/>
    <row r="507" s="7" customFormat="1" ht="14.25" customHeight="1" x14ac:dyDescent="0.3"/>
    <row r="508" s="7" customFormat="1" ht="14.25" customHeight="1" x14ac:dyDescent="0.3"/>
    <row r="509" s="7" customFormat="1" ht="14.25" customHeight="1" x14ac:dyDescent="0.3"/>
    <row r="510" s="7" customFormat="1" ht="14.25" customHeight="1" x14ac:dyDescent="0.3"/>
    <row r="511" s="7" customFormat="1" ht="14.25" customHeight="1" x14ac:dyDescent="0.3"/>
    <row r="512" s="7" customFormat="1" ht="14.25" customHeight="1" x14ac:dyDescent="0.3"/>
    <row r="513" s="7" customFormat="1" ht="14.25" customHeight="1" x14ac:dyDescent="0.3"/>
    <row r="514" s="7" customFormat="1" ht="14.25" customHeight="1" x14ac:dyDescent="0.3"/>
    <row r="515" s="7" customFormat="1" ht="14.25" customHeight="1" x14ac:dyDescent="0.3"/>
    <row r="516" s="7" customFormat="1" ht="14.25" customHeight="1" x14ac:dyDescent="0.3"/>
    <row r="517" s="7" customFormat="1" ht="14.25" customHeight="1" x14ac:dyDescent="0.3"/>
    <row r="518" s="7" customFormat="1" ht="14.25" customHeight="1" x14ac:dyDescent="0.3"/>
    <row r="519" s="7" customFormat="1" ht="14.25" customHeight="1" x14ac:dyDescent="0.3"/>
    <row r="520" s="7" customFormat="1" ht="14.25" customHeight="1" x14ac:dyDescent="0.3"/>
    <row r="521" s="7" customFormat="1" ht="14.25" customHeight="1" x14ac:dyDescent="0.3"/>
    <row r="522" s="7" customFormat="1" ht="14.25" customHeight="1" x14ac:dyDescent="0.3"/>
    <row r="523" s="7" customFormat="1" ht="14.25" customHeight="1" x14ac:dyDescent="0.3"/>
    <row r="524" s="7" customFormat="1" ht="14.25" customHeight="1" x14ac:dyDescent="0.3"/>
    <row r="525" s="7" customFormat="1" ht="14.25" customHeight="1" x14ac:dyDescent="0.3"/>
    <row r="526" s="7" customFormat="1" ht="14.25" customHeight="1" x14ac:dyDescent="0.3"/>
    <row r="527" s="7" customFormat="1" ht="14.25" customHeight="1" x14ac:dyDescent="0.3"/>
    <row r="528" s="7" customFormat="1" ht="14.25" customHeight="1" x14ac:dyDescent="0.3"/>
    <row r="529" s="7" customFormat="1" ht="14.25" customHeight="1" x14ac:dyDescent="0.3"/>
    <row r="530" s="7" customFormat="1" ht="14.25" customHeight="1" x14ac:dyDescent="0.3"/>
    <row r="531" s="7" customFormat="1" ht="14.25" customHeight="1" x14ac:dyDescent="0.3"/>
    <row r="532" s="7" customFormat="1" ht="14.25" customHeight="1" x14ac:dyDescent="0.3"/>
    <row r="533" s="7" customFormat="1" ht="14.25" customHeight="1" x14ac:dyDescent="0.3"/>
    <row r="534" s="7" customFormat="1" ht="14.25" customHeight="1" x14ac:dyDescent="0.3"/>
    <row r="535" s="7" customFormat="1" ht="14.25" customHeight="1" x14ac:dyDescent="0.3"/>
    <row r="536" s="7" customFormat="1" ht="14.25" customHeight="1" x14ac:dyDescent="0.3"/>
    <row r="537" s="7" customFormat="1" ht="14.25" customHeight="1" x14ac:dyDescent="0.3"/>
    <row r="538" s="7" customFormat="1" ht="14.25" customHeight="1" x14ac:dyDescent="0.3"/>
    <row r="539" s="7" customFormat="1" ht="14.25" customHeight="1" x14ac:dyDescent="0.3"/>
    <row r="540" s="7" customFormat="1" ht="14.25" customHeight="1" x14ac:dyDescent="0.3"/>
    <row r="541" s="7" customFormat="1" ht="14.25" customHeight="1" x14ac:dyDescent="0.3"/>
    <row r="542" s="7" customFormat="1" ht="14.25" customHeight="1" x14ac:dyDescent="0.3"/>
    <row r="543" s="7" customFormat="1" ht="14.25" customHeight="1" x14ac:dyDescent="0.3"/>
    <row r="544" s="7" customFormat="1" ht="14.25" customHeight="1" x14ac:dyDescent="0.3"/>
    <row r="545" s="7" customFormat="1" ht="14.25" customHeight="1" x14ac:dyDescent="0.3"/>
    <row r="546" s="7" customFormat="1" ht="14.25" customHeight="1" x14ac:dyDescent="0.3"/>
    <row r="547" s="7" customFormat="1" ht="14.25" customHeight="1" x14ac:dyDescent="0.3"/>
    <row r="548" s="7" customFormat="1" ht="14.25" customHeight="1" x14ac:dyDescent="0.3"/>
    <row r="549" s="7" customFormat="1" ht="14.25" customHeight="1" x14ac:dyDescent="0.3"/>
    <row r="550" s="7" customFormat="1" ht="14.25" customHeight="1" x14ac:dyDescent="0.3"/>
    <row r="551" s="7" customFormat="1" ht="14.25" customHeight="1" x14ac:dyDescent="0.3"/>
    <row r="552" s="7" customFormat="1" ht="14.25" customHeight="1" x14ac:dyDescent="0.3"/>
    <row r="553" s="7" customFormat="1" ht="14.25" customHeight="1" x14ac:dyDescent="0.3"/>
    <row r="554" s="7" customFormat="1" ht="14.25" customHeight="1" x14ac:dyDescent="0.3"/>
    <row r="555" s="7" customFormat="1" ht="14.25" customHeight="1" x14ac:dyDescent="0.3"/>
    <row r="556" s="7" customFormat="1" ht="14.25" customHeight="1" x14ac:dyDescent="0.3"/>
    <row r="557" s="7" customFormat="1" ht="14.25" customHeight="1" x14ac:dyDescent="0.3"/>
    <row r="558" s="7" customFormat="1" ht="14.25" customHeight="1" x14ac:dyDescent="0.3"/>
    <row r="559" s="7" customFormat="1" ht="14.25" customHeight="1" x14ac:dyDescent="0.3"/>
    <row r="560" s="7" customFormat="1" ht="14.25" customHeight="1" x14ac:dyDescent="0.3"/>
    <row r="561" s="7" customFormat="1" ht="14.25" customHeight="1" x14ac:dyDescent="0.3"/>
    <row r="562" s="7" customFormat="1" ht="14.25" customHeight="1" x14ac:dyDescent="0.3"/>
    <row r="563" s="7" customFormat="1" ht="14.25" customHeight="1" x14ac:dyDescent="0.3"/>
    <row r="564" s="7" customFormat="1" ht="14.25" customHeight="1" x14ac:dyDescent="0.3"/>
    <row r="565" s="7" customFormat="1" ht="14.25" customHeight="1" x14ac:dyDescent="0.3"/>
    <row r="566" s="7" customFormat="1" ht="14.25" customHeight="1" x14ac:dyDescent="0.3"/>
    <row r="567" s="7" customFormat="1" ht="14.25" customHeight="1" x14ac:dyDescent="0.3"/>
    <row r="568" s="7" customFormat="1" ht="14.25" customHeight="1" x14ac:dyDescent="0.3"/>
    <row r="569" s="7" customFormat="1" ht="14.25" customHeight="1" x14ac:dyDescent="0.3"/>
    <row r="570" s="7" customFormat="1" ht="14.25" customHeight="1" x14ac:dyDescent="0.3"/>
    <row r="571" s="7" customFormat="1" ht="14.25" customHeight="1" x14ac:dyDescent="0.3"/>
    <row r="572" s="7" customFormat="1" ht="14.25" customHeight="1" x14ac:dyDescent="0.3"/>
    <row r="573" s="7" customFormat="1" ht="14.25" customHeight="1" x14ac:dyDescent="0.3"/>
    <row r="574" s="7" customFormat="1" ht="14.25" customHeight="1" x14ac:dyDescent="0.3"/>
    <row r="575" s="7" customFormat="1" ht="14.25" customHeight="1" x14ac:dyDescent="0.3"/>
    <row r="576" s="7" customFormat="1" ht="14.25" customHeight="1" x14ac:dyDescent="0.3"/>
    <row r="577" s="7" customFormat="1" ht="14.25" customHeight="1" x14ac:dyDescent="0.3"/>
    <row r="578" s="7" customFormat="1" ht="14.25" customHeight="1" x14ac:dyDescent="0.3"/>
    <row r="579" s="7" customFormat="1" ht="14.25" customHeight="1" x14ac:dyDescent="0.3"/>
    <row r="580" s="7" customFormat="1" ht="14.25" customHeight="1" x14ac:dyDescent="0.3"/>
    <row r="581" s="7" customFormat="1" ht="14.25" customHeight="1" x14ac:dyDescent="0.3"/>
    <row r="582" s="7" customFormat="1" ht="14.25" customHeight="1" x14ac:dyDescent="0.3"/>
    <row r="583" s="7" customFormat="1" ht="14.25" customHeight="1" x14ac:dyDescent="0.3"/>
    <row r="584" s="7" customFormat="1" ht="14.25" customHeight="1" x14ac:dyDescent="0.3"/>
    <row r="585" s="7" customFormat="1" ht="14.25" customHeight="1" x14ac:dyDescent="0.3"/>
    <row r="586" s="7" customFormat="1" ht="14.25" customHeight="1" x14ac:dyDescent="0.3"/>
    <row r="587" s="7" customFormat="1" ht="14.25" customHeight="1" x14ac:dyDescent="0.3"/>
    <row r="588" s="7" customFormat="1" ht="14.25" customHeight="1" x14ac:dyDescent="0.3"/>
    <row r="589" s="7" customFormat="1" ht="14.25" customHeight="1" x14ac:dyDescent="0.3"/>
    <row r="590" s="7" customFormat="1" ht="14.25" customHeight="1" x14ac:dyDescent="0.3"/>
    <row r="591" s="7" customFormat="1" ht="14.25" customHeight="1" x14ac:dyDescent="0.3"/>
    <row r="592" s="7" customFormat="1" ht="14.25" customHeight="1" x14ac:dyDescent="0.3"/>
    <row r="593" s="7" customFormat="1" ht="14.25" customHeight="1" x14ac:dyDescent="0.3"/>
    <row r="594" s="7" customFormat="1" ht="14.25" customHeight="1" x14ac:dyDescent="0.3"/>
    <row r="595" s="7" customFormat="1" ht="14.25" customHeight="1" x14ac:dyDescent="0.3"/>
    <row r="596" s="7" customFormat="1" ht="14.25" customHeight="1" x14ac:dyDescent="0.3"/>
    <row r="597" s="7" customFormat="1" ht="14.25" customHeight="1" x14ac:dyDescent="0.3"/>
    <row r="598" s="7" customFormat="1" ht="14.25" customHeight="1" x14ac:dyDescent="0.3"/>
    <row r="599" s="7" customFormat="1" ht="14.25" customHeight="1" x14ac:dyDescent="0.3"/>
    <row r="600" s="7" customFormat="1" ht="14.25" customHeight="1" x14ac:dyDescent="0.3"/>
    <row r="601" s="7" customFormat="1" ht="14.25" customHeight="1" x14ac:dyDescent="0.3"/>
    <row r="602" s="7" customFormat="1" ht="14.25" customHeight="1" x14ac:dyDescent="0.3"/>
    <row r="603" s="7" customFormat="1" ht="14.25" customHeight="1" x14ac:dyDescent="0.3"/>
    <row r="604" s="7" customFormat="1" ht="14.25" customHeight="1" x14ac:dyDescent="0.3"/>
    <row r="605" s="7" customFormat="1" ht="14.25" customHeight="1" x14ac:dyDescent="0.3"/>
    <row r="606" s="7" customFormat="1" ht="14.25" customHeight="1" x14ac:dyDescent="0.3"/>
    <row r="607" s="7" customFormat="1" ht="14.25" customHeight="1" x14ac:dyDescent="0.3"/>
    <row r="608" s="7" customFormat="1" ht="14.25" customHeight="1" x14ac:dyDescent="0.3"/>
    <row r="609" s="7" customFormat="1" ht="14.25" customHeight="1" x14ac:dyDescent="0.3"/>
    <row r="610" s="7" customFormat="1" ht="14.25" customHeight="1" x14ac:dyDescent="0.3"/>
    <row r="611" s="7" customFormat="1" ht="14.25" customHeight="1" x14ac:dyDescent="0.3"/>
    <row r="612" s="7" customFormat="1" ht="14.25" customHeight="1" x14ac:dyDescent="0.3"/>
    <row r="613" s="7" customFormat="1" ht="14.25" customHeight="1" x14ac:dyDescent="0.3"/>
    <row r="614" s="7" customFormat="1" ht="14.25" customHeight="1" x14ac:dyDescent="0.3"/>
    <row r="615" s="7" customFormat="1" ht="14.25" customHeight="1" x14ac:dyDescent="0.3"/>
    <row r="616" s="7" customFormat="1" ht="14.25" customHeight="1" x14ac:dyDescent="0.3"/>
    <row r="617" s="7" customFormat="1" ht="14.25" customHeight="1" x14ac:dyDescent="0.3"/>
    <row r="618" s="7" customFormat="1" ht="14.25" customHeight="1" x14ac:dyDescent="0.3"/>
    <row r="619" s="7" customFormat="1" ht="14.25" customHeight="1" x14ac:dyDescent="0.3"/>
    <row r="620" s="7" customFormat="1" ht="14.25" customHeight="1" x14ac:dyDescent="0.3"/>
    <row r="621" s="7" customFormat="1" ht="14.25" customHeight="1" x14ac:dyDescent="0.3"/>
    <row r="622" s="7" customFormat="1" ht="14.25" customHeight="1" x14ac:dyDescent="0.3"/>
    <row r="623" s="7" customFormat="1" ht="14.25" customHeight="1" x14ac:dyDescent="0.3"/>
    <row r="624" s="7" customFormat="1" ht="14.25" customHeight="1" x14ac:dyDescent="0.3"/>
    <row r="625" s="7" customFormat="1" ht="14.25" customHeight="1" x14ac:dyDescent="0.3"/>
    <row r="626" s="7" customFormat="1" ht="14.25" customHeight="1" x14ac:dyDescent="0.3"/>
    <row r="627" s="7" customFormat="1" ht="14.25" customHeight="1" x14ac:dyDescent="0.3"/>
    <row r="628" s="7" customFormat="1" ht="14.25" customHeight="1" x14ac:dyDescent="0.3"/>
    <row r="629" s="7" customFormat="1" ht="14.25" customHeight="1" x14ac:dyDescent="0.3"/>
    <row r="630" s="7" customFormat="1" ht="14.25" customHeight="1" x14ac:dyDescent="0.3"/>
    <row r="631" s="7" customFormat="1" ht="14.25" customHeight="1" x14ac:dyDescent="0.3"/>
    <row r="632" s="7" customFormat="1" ht="14.25" customHeight="1" x14ac:dyDescent="0.3"/>
    <row r="633" s="7" customFormat="1" ht="14.25" customHeight="1" x14ac:dyDescent="0.3"/>
    <row r="634" s="7" customFormat="1" ht="14.25" customHeight="1" x14ac:dyDescent="0.3"/>
    <row r="635" s="7" customFormat="1" ht="14.25" customHeight="1" x14ac:dyDescent="0.3"/>
    <row r="636" s="7" customFormat="1" ht="14.25" customHeight="1" x14ac:dyDescent="0.3"/>
    <row r="637" s="7" customFormat="1" ht="14.25" customHeight="1" x14ac:dyDescent="0.3"/>
    <row r="638" s="7" customFormat="1" ht="14.25" customHeight="1" x14ac:dyDescent="0.3"/>
    <row r="639" s="7" customFormat="1" ht="14.25" customHeight="1" x14ac:dyDescent="0.3"/>
    <row r="640" s="7" customFormat="1" ht="14.25" customHeight="1" x14ac:dyDescent="0.3"/>
    <row r="641" s="7" customFormat="1" ht="14.25" customHeight="1" x14ac:dyDescent="0.3"/>
    <row r="642" s="7" customFormat="1" ht="14.25" customHeight="1" x14ac:dyDescent="0.3"/>
    <row r="643" s="7" customFormat="1" ht="14.25" customHeight="1" x14ac:dyDescent="0.3"/>
    <row r="644" s="7" customFormat="1" ht="14.25" customHeight="1" x14ac:dyDescent="0.3"/>
    <row r="645" s="7" customFormat="1" ht="14.25" customHeight="1" x14ac:dyDescent="0.3"/>
    <row r="646" s="7" customFormat="1" ht="14.25" customHeight="1" x14ac:dyDescent="0.3"/>
    <row r="647" s="7" customFormat="1" ht="14.25" customHeight="1" x14ac:dyDescent="0.3"/>
    <row r="648" s="7" customFormat="1" ht="14.25" customHeight="1" x14ac:dyDescent="0.3"/>
    <row r="649" s="7" customFormat="1" ht="14.25" customHeight="1" x14ac:dyDescent="0.3"/>
    <row r="650" s="7" customFormat="1" ht="14.25" customHeight="1" x14ac:dyDescent="0.3"/>
    <row r="651" s="7" customFormat="1" ht="14.25" customHeight="1" x14ac:dyDescent="0.3"/>
    <row r="652" s="7" customFormat="1" ht="14.25" customHeight="1" x14ac:dyDescent="0.3"/>
    <row r="653" s="7" customFormat="1" ht="14.25" customHeight="1" x14ac:dyDescent="0.3"/>
    <row r="654" s="7" customFormat="1" ht="14.25" customHeight="1" x14ac:dyDescent="0.3"/>
    <row r="655" s="7" customFormat="1" ht="14.25" customHeight="1" x14ac:dyDescent="0.3"/>
    <row r="656" s="7" customFormat="1" ht="14.25" customHeight="1" x14ac:dyDescent="0.3"/>
    <row r="657" s="7" customFormat="1" ht="14.25" customHeight="1" x14ac:dyDescent="0.3"/>
    <row r="658" s="7" customFormat="1" ht="14.25" customHeight="1" x14ac:dyDescent="0.3"/>
    <row r="659" s="7" customFormat="1" ht="14.25" customHeight="1" x14ac:dyDescent="0.3"/>
    <row r="660" s="7" customFormat="1" ht="14.25" customHeight="1" x14ac:dyDescent="0.3"/>
    <row r="661" s="7" customFormat="1" ht="14.25" customHeight="1" x14ac:dyDescent="0.3"/>
    <row r="662" s="7" customFormat="1" ht="14.25" customHeight="1" x14ac:dyDescent="0.3"/>
    <row r="663" s="7" customFormat="1" ht="14.25" customHeight="1" x14ac:dyDescent="0.3"/>
    <row r="664" s="7" customFormat="1" ht="14.25" customHeight="1" x14ac:dyDescent="0.3"/>
    <row r="665" s="7" customFormat="1" ht="14.25" customHeight="1" x14ac:dyDescent="0.3"/>
    <row r="666" s="7" customFormat="1" ht="14.25" customHeight="1" x14ac:dyDescent="0.3"/>
    <row r="667" s="7" customFormat="1" ht="14.25" customHeight="1" x14ac:dyDescent="0.3"/>
    <row r="668" s="7" customFormat="1" ht="14.25" customHeight="1" x14ac:dyDescent="0.3"/>
    <row r="669" s="7" customFormat="1" ht="14.25" customHeight="1" x14ac:dyDescent="0.3"/>
    <row r="670" s="7" customFormat="1" ht="14.25" customHeight="1" x14ac:dyDescent="0.3"/>
    <row r="671" s="7" customFormat="1" ht="14.25" customHeight="1" x14ac:dyDescent="0.3"/>
    <row r="672" s="7" customFormat="1" ht="14.25" customHeight="1" x14ac:dyDescent="0.3"/>
    <row r="673" s="7" customFormat="1" ht="14.25" customHeight="1" x14ac:dyDescent="0.3"/>
    <row r="674" s="7" customFormat="1" ht="14.25" customHeight="1" x14ac:dyDescent="0.3"/>
    <row r="675" s="7" customFormat="1" ht="14.25" customHeight="1" x14ac:dyDescent="0.3"/>
    <row r="676" s="7" customFormat="1" ht="14.25" customHeight="1" x14ac:dyDescent="0.3"/>
    <row r="677" s="7" customFormat="1" ht="14.25" customHeight="1" x14ac:dyDescent="0.3"/>
    <row r="678" s="7" customFormat="1" ht="14.25" customHeight="1" x14ac:dyDescent="0.3"/>
    <row r="679" s="7" customFormat="1" ht="14.25" customHeight="1" x14ac:dyDescent="0.3"/>
    <row r="680" s="7" customFormat="1" ht="14.25" customHeight="1" x14ac:dyDescent="0.3"/>
    <row r="681" s="7" customFormat="1" ht="14.25" customHeight="1" x14ac:dyDescent="0.3"/>
    <row r="682" s="7" customFormat="1" ht="14.25" customHeight="1" x14ac:dyDescent="0.3"/>
    <row r="683" s="7" customFormat="1" ht="14.25" customHeight="1" x14ac:dyDescent="0.3"/>
    <row r="684" s="7" customFormat="1" ht="14.25" customHeight="1" x14ac:dyDescent="0.3"/>
    <row r="685" s="7" customFormat="1" ht="14.25" customHeight="1" x14ac:dyDescent="0.3"/>
    <row r="686" s="7" customFormat="1" ht="14.25" customHeight="1" x14ac:dyDescent="0.3"/>
    <row r="687" s="7" customFormat="1" ht="14.25" customHeight="1" x14ac:dyDescent="0.3"/>
    <row r="688" s="7" customFormat="1" ht="14.25" customHeight="1" x14ac:dyDescent="0.3"/>
    <row r="689" s="7" customFormat="1" ht="14.25" customHeight="1" x14ac:dyDescent="0.3"/>
    <row r="690" s="7" customFormat="1" ht="14.25" customHeight="1" x14ac:dyDescent="0.3"/>
    <row r="691" s="7" customFormat="1" ht="14.25" customHeight="1" x14ac:dyDescent="0.3"/>
    <row r="692" s="7" customFormat="1" ht="14.25" customHeight="1" x14ac:dyDescent="0.3"/>
    <row r="693" s="7" customFormat="1" ht="14.25" customHeight="1" x14ac:dyDescent="0.3"/>
    <row r="694" s="7" customFormat="1" ht="14.25" customHeight="1" x14ac:dyDescent="0.3"/>
    <row r="695" s="7" customFormat="1" ht="14.25" customHeight="1" x14ac:dyDescent="0.3"/>
    <row r="696" s="7" customFormat="1" ht="14.25" customHeight="1" x14ac:dyDescent="0.3"/>
    <row r="697" s="7" customFormat="1" ht="14.25" customHeight="1" x14ac:dyDescent="0.3"/>
    <row r="698" s="7" customFormat="1" ht="14.25" customHeight="1" x14ac:dyDescent="0.3"/>
    <row r="699" s="7" customFormat="1" ht="14.25" customHeight="1" x14ac:dyDescent="0.3"/>
    <row r="700" s="7" customFormat="1" ht="14.25" customHeight="1" x14ac:dyDescent="0.3"/>
    <row r="701" s="7" customFormat="1" ht="14.25" customHeight="1" x14ac:dyDescent="0.3"/>
    <row r="702" s="7" customFormat="1" ht="14.25" customHeight="1" x14ac:dyDescent="0.3"/>
    <row r="703" s="7" customFormat="1" ht="14.25" customHeight="1" x14ac:dyDescent="0.3"/>
    <row r="704" s="7" customFormat="1" ht="14.25" customHeight="1" x14ac:dyDescent="0.3"/>
    <row r="705" s="7" customFormat="1" ht="14.25" customHeight="1" x14ac:dyDescent="0.3"/>
    <row r="706" s="7" customFormat="1" ht="14.25" customHeight="1" x14ac:dyDescent="0.3"/>
    <row r="707" s="7" customFormat="1" ht="14.25" customHeight="1" x14ac:dyDescent="0.3"/>
    <row r="708" s="7" customFormat="1" ht="14.25" customHeight="1" x14ac:dyDescent="0.3"/>
    <row r="709" s="7" customFormat="1" ht="14.25" customHeight="1" x14ac:dyDescent="0.3"/>
    <row r="710" s="7" customFormat="1" ht="14.25" customHeight="1" x14ac:dyDescent="0.3"/>
    <row r="711" s="7" customFormat="1" ht="14.25" customHeight="1" x14ac:dyDescent="0.3"/>
    <row r="712" s="7" customFormat="1" ht="14.25" customHeight="1" x14ac:dyDescent="0.3"/>
    <row r="713" s="7" customFormat="1" ht="14.25" customHeight="1" x14ac:dyDescent="0.3"/>
    <row r="714" s="7" customFormat="1" ht="14.25" customHeight="1" x14ac:dyDescent="0.3"/>
    <row r="715" s="7" customFormat="1" ht="14.25" customHeight="1" x14ac:dyDescent="0.3"/>
    <row r="716" s="7" customFormat="1" ht="14.25" customHeight="1" x14ac:dyDescent="0.3"/>
    <row r="717" s="7" customFormat="1" ht="14.25" customHeight="1" x14ac:dyDescent="0.3"/>
    <row r="718" s="7" customFormat="1" ht="14.25" customHeight="1" x14ac:dyDescent="0.3"/>
    <row r="719" s="7" customFormat="1" ht="14.25" customHeight="1" x14ac:dyDescent="0.3"/>
    <row r="720" s="7" customFormat="1" ht="14.25" customHeight="1" x14ac:dyDescent="0.3"/>
    <row r="721" s="7" customFormat="1" ht="14.25" customHeight="1" x14ac:dyDescent="0.3"/>
    <row r="722" s="7" customFormat="1" ht="14.25" customHeight="1" x14ac:dyDescent="0.3"/>
    <row r="723" s="7" customFormat="1" ht="14.25" customHeight="1" x14ac:dyDescent="0.3"/>
    <row r="724" s="7" customFormat="1" ht="14.25" customHeight="1" x14ac:dyDescent="0.3"/>
    <row r="725" s="7" customFormat="1" ht="14.25" customHeight="1" x14ac:dyDescent="0.3"/>
    <row r="726" s="7" customFormat="1" ht="14.25" customHeight="1" x14ac:dyDescent="0.3"/>
    <row r="727" s="7" customFormat="1" ht="14.25" customHeight="1" x14ac:dyDescent="0.3"/>
    <row r="728" s="7" customFormat="1" ht="14.25" customHeight="1" x14ac:dyDescent="0.3"/>
    <row r="729" s="7" customFormat="1" ht="14.25" customHeight="1" x14ac:dyDescent="0.3"/>
    <row r="730" s="7" customFormat="1" ht="14.25" customHeight="1" x14ac:dyDescent="0.3"/>
    <row r="731" s="7" customFormat="1" ht="14.25" customHeight="1" x14ac:dyDescent="0.3"/>
    <row r="732" s="7" customFormat="1" ht="14.25" customHeight="1" x14ac:dyDescent="0.3"/>
    <row r="733" s="7" customFormat="1" ht="14.25" customHeight="1" x14ac:dyDescent="0.3"/>
    <row r="734" s="7" customFormat="1" ht="14.25" customHeight="1" x14ac:dyDescent="0.3"/>
    <row r="735" s="7" customFormat="1" ht="14.25" customHeight="1" x14ac:dyDescent="0.3"/>
    <row r="736" s="7" customFormat="1" ht="14.25" customHeight="1" x14ac:dyDescent="0.3"/>
    <row r="737" s="7" customFormat="1" ht="14.25" customHeight="1" x14ac:dyDescent="0.3"/>
    <row r="738" s="7" customFormat="1" ht="14.25" customHeight="1" x14ac:dyDescent="0.3"/>
    <row r="739" s="7" customFormat="1" ht="14.25" customHeight="1" x14ac:dyDescent="0.3"/>
    <row r="740" s="7" customFormat="1" ht="14.25" customHeight="1" x14ac:dyDescent="0.3"/>
    <row r="741" s="7" customFormat="1" ht="14.25" customHeight="1" x14ac:dyDescent="0.3"/>
    <row r="742" s="7" customFormat="1" ht="14.25" customHeight="1" x14ac:dyDescent="0.3"/>
    <row r="743" s="7" customFormat="1" ht="14.25" customHeight="1" x14ac:dyDescent="0.3"/>
    <row r="744" s="7" customFormat="1" ht="14.25" customHeight="1" x14ac:dyDescent="0.3"/>
    <row r="745" s="7" customFormat="1" ht="14.25" customHeight="1" x14ac:dyDescent="0.3"/>
    <row r="746" s="7" customFormat="1" ht="14.25" customHeight="1" x14ac:dyDescent="0.3"/>
    <row r="747" s="7" customFormat="1" ht="14.25" customHeight="1" x14ac:dyDescent="0.3"/>
    <row r="748" s="7" customFormat="1" ht="14.25" customHeight="1" x14ac:dyDescent="0.3"/>
    <row r="749" s="7" customFormat="1" ht="14.25" customHeight="1" x14ac:dyDescent="0.3"/>
    <row r="750" s="7" customFormat="1" ht="14.25" customHeight="1" x14ac:dyDescent="0.3"/>
    <row r="751" s="7" customFormat="1" ht="14.25" customHeight="1" x14ac:dyDescent="0.3"/>
    <row r="752" s="7" customFormat="1" ht="14.25" customHeight="1" x14ac:dyDescent="0.3"/>
    <row r="753" s="7" customFormat="1" ht="14.25" customHeight="1" x14ac:dyDescent="0.3"/>
    <row r="754" s="7" customFormat="1" ht="14.25" customHeight="1" x14ac:dyDescent="0.3"/>
    <row r="755" s="7" customFormat="1" ht="14.25" customHeight="1" x14ac:dyDescent="0.3"/>
    <row r="756" s="7" customFormat="1" ht="14.25" customHeight="1" x14ac:dyDescent="0.3"/>
    <row r="757" s="7" customFormat="1" ht="14.25" customHeight="1" x14ac:dyDescent="0.3"/>
    <row r="758" s="7" customFormat="1" ht="14.25" customHeight="1" x14ac:dyDescent="0.3"/>
    <row r="759" s="7" customFormat="1" ht="14.25" customHeight="1" x14ac:dyDescent="0.3"/>
    <row r="760" s="7" customFormat="1" ht="14.25" customHeight="1" x14ac:dyDescent="0.3"/>
    <row r="761" s="7" customFormat="1" ht="14.25" customHeight="1" x14ac:dyDescent="0.3"/>
    <row r="762" s="7" customFormat="1" ht="14.25" customHeight="1" x14ac:dyDescent="0.3"/>
    <row r="763" s="7" customFormat="1" ht="14.25" customHeight="1" x14ac:dyDescent="0.3"/>
    <row r="764" s="7" customFormat="1" ht="14.25" customHeight="1" x14ac:dyDescent="0.3"/>
    <row r="765" s="7" customFormat="1" ht="14.25" customHeight="1" x14ac:dyDescent="0.3"/>
    <row r="766" s="7" customFormat="1" ht="14.25" customHeight="1" x14ac:dyDescent="0.3"/>
    <row r="767" s="7" customFormat="1" ht="14.25" customHeight="1" x14ac:dyDescent="0.3"/>
    <row r="768" s="7" customFormat="1" ht="14.25" customHeight="1" x14ac:dyDescent="0.3"/>
    <row r="769" s="7" customFormat="1" ht="14.25" customHeight="1" x14ac:dyDescent="0.3"/>
    <row r="770" s="7" customFormat="1" ht="14.25" customHeight="1" x14ac:dyDescent="0.3"/>
    <row r="771" s="7" customFormat="1" ht="14.25" customHeight="1" x14ac:dyDescent="0.3"/>
    <row r="772" s="7" customFormat="1" ht="14.25" customHeight="1" x14ac:dyDescent="0.3"/>
    <row r="773" s="7" customFormat="1" ht="14.25" customHeight="1" x14ac:dyDescent="0.3"/>
    <row r="774" s="7" customFormat="1" ht="14.25" customHeight="1" x14ac:dyDescent="0.3"/>
    <row r="775" s="7" customFormat="1" ht="14.25" customHeight="1" x14ac:dyDescent="0.3"/>
    <row r="776" s="7" customFormat="1" ht="14.25" customHeight="1" x14ac:dyDescent="0.3"/>
    <row r="777" s="7" customFormat="1" ht="14.25" customHeight="1" x14ac:dyDescent="0.3"/>
    <row r="778" s="7" customFormat="1" ht="14.25" customHeight="1" x14ac:dyDescent="0.3"/>
    <row r="779" s="7" customFormat="1" ht="14.25" customHeight="1" x14ac:dyDescent="0.3"/>
    <row r="780" s="7" customFormat="1" ht="14.25" customHeight="1" x14ac:dyDescent="0.3"/>
    <row r="781" s="7" customFormat="1" ht="14.25" customHeight="1" x14ac:dyDescent="0.3"/>
    <row r="782" s="7" customFormat="1" ht="14.25" customHeight="1" x14ac:dyDescent="0.3"/>
    <row r="783" s="7" customFormat="1" ht="14.25" customHeight="1" x14ac:dyDescent="0.3"/>
    <row r="784" s="7" customFormat="1" ht="14.25" customHeight="1" x14ac:dyDescent="0.3"/>
    <row r="785" s="7" customFormat="1" ht="14.25" customHeight="1" x14ac:dyDescent="0.3"/>
    <row r="786" s="7" customFormat="1" ht="14.25" customHeight="1" x14ac:dyDescent="0.3"/>
    <row r="787" s="7" customFormat="1" ht="14.25" customHeight="1" x14ac:dyDescent="0.3"/>
    <row r="788" s="7" customFormat="1" ht="14.25" customHeight="1" x14ac:dyDescent="0.3"/>
    <row r="789" s="7" customFormat="1" ht="14.25" customHeight="1" x14ac:dyDescent="0.3"/>
    <row r="790" s="7" customFormat="1" ht="14.25" customHeight="1" x14ac:dyDescent="0.3"/>
    <row r="791" s="7" customFormat="1" ht="14.25" customHeight="1" x14ac:dyDescent="0.3"/>
    <row r="792" s="7" customFormat="1" ht="14.25" customHeight="1" x14ac:dyDescent="0.3"/>
    <row r="793" s="7" customFormat="1" ht="14.25" customHeight="1" x14ac:dyDescent="0.3"/>
    <row r="794" s="7" customFormat="1" ht="14.25" customHeight="1" x14ac:dyDescent="0.3"/>
    <row r="795" s="7" customFormat="1" ht="14.25" customHeight="1" x14ac:dyDescent="0.3"/>
    <row r="796" s="7" customFormat="1" ht="14.25" customHeight="1" x14ac:dyDescent="0.3"/>
    <row r="797" s="7" customFormat="1" ht="14.25" customHeight="1" x14ac:dyDescent="0.3"/>
    <row r="798" s="7" customFormat="1" ht="14.25" customHeight="1" x14ac:dyDescent="0.3"/>
    <row r="799" s="7" customFormat="1" ht="14.25" customHeight="1" x14ac:dyDescent="0.3"/>
    <row r="800" s="7" customFormat="1" ht="14.25" customHeight="1" x14ac:dyDescent="0.3"/>
    <row r="801" s="7" customFormat="1" ht="14.25" customHeight="1" x14ac:dyDescent="0.3"/>
    <row r="802" s="7" customFormat="1" ht="14.25" customHeight="1" x14ac:dyDescent="0.3"/>
    <row r="803" s="7" customFormat="1" ht="14.25" customHeight="1" x14ac:dyDescent="0.3"/>
    <row r="804" s="7" customFormat="1" ht="14.25" customHeight="1" x14ac:dyDescent="0.3"/>
    <row r="805" s="7" customFormat="1" ht="14.25" customHeight="1" x14ac:dyDescent="0.3"/>
    <row r="806" s="7" customFormat="1" ht="14.25" customHeight="1" x14ac:dyDescent="0.3"/>
    <row r="807" s="7" customFormat="1" ht="14.25" customHeight="1" x14ac:dyDescent="0.3"/>
    <row r="808" s="7" customFormat="1" ht="14.25" customHeight="1" x14ac:dyDescent="0.3"/>
    <row r="809" s="7" customFormat="1" ht="14.25" customHeight="1" x14ac:dyDescent="0.3"/>
    <row r="810" s="7" customFormat="1" ht="14.25" customHeight="1" x14ac:dyDescent="0.3"/>
    <row r="811" s="7" customFormat="1" ht="14.25" customHeight="1" x14ac:dyDescent="0.3"/>
    <row r="812" s="7" customFormat="1" ht="14.25" customHeight="1" x14ac:dyDescent="0.3"/>
    <row r="813" s="7" customFormat="1" ht="14.25" customHeight="1" x14ac:dyDescent="0.3"/>
    <row r="814" s="7" customFormat="1" ht="14.25" customHeight="1" x14ac:dyDescent="0.3"/>
    <row r="815" s="7" customFormat="1" ht="14.25" customHeight="1" x14ac:dyDescent="0.3"/>
    <row r="816" s="7" customFormat="1" ht="14.25" customHeight="1" x14ac:dyDescent="0.3"/>
    <row r="817" s="7" customFormat="1" ht="14.25" customHeight="1" x14ac:dyDescent="0.3"/>
    <row r="818" s="7" customFormat="1" ht="14.25" customHeight="1" x14ac:dyDescent="0.3"/>
    <row r="819" s="7" customFormat="1" ht="14.25" customHeight="1" x14ac:dyDescent="0.3"/>
    <row r="820" s="7" customFormat="1" ht="14.25" customHeight="1" x14ac:dyDescent="0.3"/>
    <row r="821" s="7" customFormat="1" ht="14.25" customHeight="1" x14ac:dyDescent="0.3"/>
    <row r="822" s="7" customFormat="1" ht="14.25" customHeight="1" x14ac:dyDescent="0.3"/>
    <row r="823" s="7" customFormat="1" ht="14.25" customHeight="1" x14ac:dyDescent="0.3"/>
    <row r="824" s="7" customFormat="1" ht="14.25" customHeight="1" x14ac:dyDescent="0.3"/>
    <row r="825" s="7" customFormat="1" ht="14.25" customHeight="1" x14ac:dyDescent="0.3"/>
    <row r="826" s="7" customFormat="1" ht="14.25" customHeight="1" x14ac:dyDescent="0.3"/>
    <row r="827" s="7" customFormat="1" ht="14.25" customHeight="1" x14ac:dyDescent="0.3"/>
    <row r="828" s="7" customFormat="1" ht="14.25" customHeight="1" x14ac:dyDescent="0.3"/>
    <row r="829" s="7" customFormat="1" ht="14.25" customHeight="1" x14ac:dyDescent="0.3"/>
    <row r="830" s="7" customFormat="1" ht="14.25" customHeight="1" x14ac:dyDescent="0.3"/>
    <row r="831" s="7" customFormat="1" ht="14.25" customHeight="1" x14ac:dyDescent="0.3"/>
    <row r="832" s="7" customFormat="1" ht="14.25" customHeight="1" x14ac:dyDescent="0.3"/>
    <row r="833" s="7" customFormat="1" ht="14.25" customHeight="1" x14ac:dyDescent="0.3"/>
    <row r="834" s="7" customFormat="1" ht="14.25" customHeight="1" x14ac:dyDescent="0.3"/>
    <row r="835" s="7" customFormat="1" ht="14.25" customHeight="1" x14ac:dyDescent="0.3"/>
    <row r="836" s="7" customFormat="1" ht="14.25" customHeight="1" x14ac:dyDescent="0.3"/>
    <row r="837" s="7" customFormat="1" ht="14.25" customHeight="1" x14ac:dyDescent="0.3"/>
    <row r="838" s="7" customFormat="1" ht="14.25" customHeight="1" x14ac:dyDescent="0.3"/>
    <row r="839" s="7" customFormat="1" ht="14.25" customHeight="1" x14ac:dyDescent="0.3"/>
    <row r="840" s="7" customFormat="1" ht="14.25" customHeight="1" x14ac:dyDescent="0.3"/>
    <row r="841" s="7" customFormat="1" ht="14.25" customHeight="1" x14ac:dyDescent="0.3"/>
    <row r="842" s="7" customFormat="1" ht="14.25" customHeight="1" x14ac:dyDescent="0.3"/>
    <row r="843" s="7" customFormat="1" ht="14.25" customHeight="1" x14ac:dyDescent="0.3"/>
    <row r="844" s="7" customFormat="1" ht="14.25" customHeight="1" x14ac:dyDescent="0.3"/>
    <row r="845" s="7" customFormat="1" ht="14.25" customHeight="1" x14ac:dyDescent="0.3"/>
    <row r="846" s="7" customFormat="1" ht="14.25" customHeight="1" x14ac:dyDescent="0.3"/>
    <row r="847" s="7" customFormat="1" ht="14.25" customHeight="1" x14ac:dyDescent="0.3"/>
    <row r="848" s="7" customFormat="1" ht="14.25" customHeight="1" x14ac:dyDescent="0.3"/>
    <row r="849" s="7" customFormat="1" ht="14.25" customHeight="1" x14ac:dyDescent="0.3"/>
    <row r="850" s="7" customFormat="1" ht="14.25" customHeight="1" x14ac:dyDescent="0.3"/>
    <row r="851" s="7" customFormat="1" ht="14.25" customHeight="1" x14ac:dyDescent="0.3"/>
    <row r="852" s="7" customFormat="1" ht="14.25" customHeight="1" x14ac:dyDescent="0.3"/>
    <row r="853" s="7" customFormat="1" ht="14.25" customHeight="1" x14ac:dyDescent="0.3"/>
    <row r="854" s="7" customFormat="1" ht="14.25" customHeight="1" x14ac:dyDescent="0.3"/>
    <row r="855" s="7" customFormat="1" ht="14.25" customHeight="1" x14ac:dyDescent="0.3"/>
    <row r="856" s="7" customFormat="1" ht="14.25" customHeight="1" x14ac:dyDescent="0.3"/>
    <row r="857" s="7" customFormat="1" ht="14.25" customHeight="1" x14ac:dyDescent="0.3"/>
    <row r="858" s="7" customFormat="1" ht="14.25" customHeight="1" x14ac:dyDescent="0.3"/>
    <row r="859" s="7" customFormat="1" ht="14.25" customHeight="1" x14ac:dyDescent="0.3"/>
    <row r="860" s="7" customFormat="1" ht="14.25" customHeight="1" x14ac:dyDescent="0.3"/>
    <row r="861" s="7" customFormat="1" ht="14.25" customHeight="1" x14ac:dyDescent="0.3"/>
    <row r="862" s="7" customFormat="1" ht="14.25" customHeight="1" x14ac:dyDescent="0.3"/>
    <row r="863" s="7" customFormat="1" ht="14.25" customHeight="1" x14ac:dyDescent="0.3"/>
    <row r="864" s="7" customFormat="1" ht="14.25" customHeight="1" x14ac:dyDescent="0.3"/>
    <row r="865" s="7" customFormat="1" ht="14.25" customHeight="1" x14ac:dyDescent="0.3"/>
    <row r="866" s="7" customFormat="1" ht="14.25" customHeight="1" x14ac:dyDescent="0.3"/>
    <row r="867" s="7" customFormat="1" ht="14.25" customHeight="1" x14ac:dyDescent="0.3"/>
    <row r="868" s="7" customFormat="1" ht="14.25" customHeight="1" x14ac:dyDescent="0.3"/>
    <row r="869" s="7" customFormat="1" ht="14.25" customHeight="1" x14ac:dyDescent="0.3"/>
    <row r="870" s="7" customFormat="1" ht="14.25" customHeight="1" x14ac:dyDescent="0.3"/>
    <row r="871" s="7" customFormat="1" ht="14.25" customHeight="1" x14ac:dyDescent="0.3"/>
    <row r="872" s="7" customFormat="1" ht="14.25" customHeight="1" x14ac:dyDescent="0.3"/>
    <row r="873" s="7" customFormat="1" ht="14.25" customHeight="1" x14ac:dyDescent="0.3"/>
    <row r="874" s="7" customFormat="1" ht="14.25" customHeight="1" x14ac:dyDescent="0.3"/>
    <row r="875" s="7" customFormat="1" ht="14.25" customHeight="1" x14ac:dyDescent="0.3"/>
    <row r="876" s="7" customFormat="1" ht="14.25" customHeight="1" x14ac:dyDescent="0.3"/>
    <row r="877" s="7" customFormat="1" ht="14.25" customHeight="1" x14ac:dyDescent="0.3"/>
    <row r="878" s="7" customFormat="1" ht="14.25" customHeight="1" x14ac:dyDescent="0.3"/>
    <row r="879" s="7" customFormat="1" ht="14.25" customHeight="1" x14ac:dyDescent="0.3"/>
    <row r="880" s="7" customFormat="1" ht="14.25" customHeight="1" x14ac:dyDescent="0.3"/>
    <row r="881" s="7" customFormat="1" ht="14.25" customHeight="1" x14ac:dyDescent="0.3"/>
    <row r="882" s="7" customFormat="1" ht="14.25" customHeight="1" x14ac:dyDescent="0.3"/>
    <row r="883" s="7" customFormat="1" ht="14.25" customHeight="1" x14ac:dyDescent="0.3"/>
    <row r="884" s="7" customFormat="1" ht="14.25" customHeight="1" x14ac:dyDescent="0.3"/>
    <row r="885" s="7" customFormat="1" ht="14.25" customHeight="1" x14ac:dyDescent="0.3"/>
    <row r="886" s="7" customFormat="1" ht="14.25" customHeight="1" x14ac:dyDescent="0.3"/>
    <row r="887" s="7" customFormat="1" ht="14.25" customHeight="1" x14ac:dyDescent="0.3"/>
    <row r="888" s="7" customFormat="1" ht="14.25" customHeight="1" x14ac:dyDescent="0.3"/>
    <row r="889" s="7" customFormat="1" ht="14.25" customHeight="1" x14ac:dyDescent="0.3"/>
    <row r="890" s="7" customFormat="1" ht="14.25" customHeight="1" x14ac:dyDescent="0.3"/>
    <row r="891" s="7" customFormat="1" ht="14.25" customHeight="1" x14ac:dyDescent="0.3"/>
    <row r="892" s="7" customFormat="1" ht="14.25" customHeight="1" x14ac:dyDescent="0.3"/>
    <row r="893" s="7" customFormat="1" ht="14.25" customHeight="1" x14ac:dyDescent="0.3"/>
    <row r="894" s="7" customFormat="1" ht="14.25" customHeight="1" x14ac:dyDescent="0.3"/>
    <row r="895" s="7" customFormat="1" ht="14.25" customHeight="1" x14ac:dyDescent="0.3"/>
    <row r="896" s="7" customFormat="1" ht="14.25" customHeight="1" x14ac:dyDescent="0.3"/>
    <row r="897" s="7" customFormat="1" ht="14.25" customHeight="1" x14ac:dyDescent="0.3"/>
    <row r="898" s="7" customFormat="1" ht="14.25" customHeight="1" x14ac:dyDescent="0.3"/>
    <row r="899" s="7" customFormat="1" ht="14.25" customHeight="1" x14ac:dyDescent="0.3"/>
    <row r="900" s="7" customFormat="1" ht="14.25" customHeight="1" x14ac:dyDescent="0.3"/>
    <row r="901" s="7" customFormat="1" ht="14.25" customHeight="1" x14ac:dyDescent="0.3"/>
    <row r="902" s="7" customFormat="1" ht="14.25" customHeight="1" x14ac:dyDescent="0.3"/>
    <row r="903" s="7" customFormat="1" ht="14.25" customHeight="1" x14ac:dyDescent="0.3"/>
    <row r="904" s="7" customFormat="1" ht="14.25" customHeight="1" x14ac:dyDescent="0.3"/>
    <row r="905" s="7" customFormat="1" ht="14.25" customHeight="1" x14ac:dyDescent="0.3"/>
    <row r="906" s="7" customFormat="1" ht="14.25" customHeight="1" x14ac:dyDescent="0.3"/>
    <row r="907" s="7" customFormat="1" ht="14.25" customHeight="1" x14ac:dyDescent="0.3"/>
    <row r="908" s="7" customFormat="1" ht="14.25" customHeight="1" x14ac:dyDescent="0.3"/>
    <row r="909" s="7" customFormat="1" ht="14.25" customHeight="1" x14ac:dyDescent="0.3"/>
    <row r="910" s="7" customFormat="1" ht="14.25" customHeight="1" x14ac:dyDescent="0.3"/>
    <row r="911" s="7" customFormat="1" ht="14.25" customHeight="1" x14ac:dyDescent="0.3"/>
    <row r="912" s="7" customFormat="1" ht="14.25" customHeight="1" x14ac:dyDescent="0.3"/>
    <row r="913" s="7" customFormat="1" ht="14.25" customHeight="1" x14ac:dyDescent="0.3"/>
    <row r="914" s="7" customFormat="1" ht="14.25" customHeight="1" x14ac:dyDescent="0.3"/>
    <row r="915" s="7" customFormat="1" ht="14.25" customHeight="1" x14ac:dyDescent="0.3"/>
    <row r="916" s="7" customFormat="1" ht="14.25" customHeight="1" x14ac:dyDescent="0.3"/>
    <row r="917" s="7" customFormat="1" ht="14.25" customHeight="1" x14ac:dyDescent="0.3"/>
    <row r="918" s="7" customFormat="1" ht="14.25" customHeight="1" x14ac:dyDescent="0.3"/>
    <row r="919" s="7" customFormat="1" ht="14.25" customHeight="1" x14ac:dyDescent="0.3"/>
    <row r="920" s="7" customFormat="1" ht="14.25" customHeight="1" x14ac:dyDescent="0.3"/>
    <row r="921" s="7" customFormat="1" ht="14.25" customHeight="1" x14ac:dyDescent="0.3"/>
    <row r="922" s="7" customFormat="1" ht="14.25" customHeight="1" x14ac:dyDescent="0.3"/>
    <row r="923" s="7" customFormat="1" ht="14.25" customHeight="1" x14ac:dyDescent="0.3"/>
    <row r="924" s="7" customFormat="1" ht="14.25" customHeight="1" x14ac:dyDescent="0.3"/>
    <row r="925" s="7" customFormat="1" ht="14.25" customHeight="1" x14ac:dyDescent="0.3"/>
    <row r="926" s="7" customFormat="1" ht="14.25" customHeight="1" x14ac:dyDescent="0.3"/>
    <row r="927" s="7" customFormat="1" ht="14.25" customHeight="1" x14ac:dyDescent="0.3"/>
    <row r="928" s="7" customFormat="1" ht="14.25" customHeight="1" x14ac:dyDescent="0.3"/>
    <row r="929" s="7" customFormat="1" ht="14.25" customHeight="1" x14ac:dyDescent="0.3"/>
    <row r="930" s="7" customFormat="1" ht="14.25" customHeight="1" x14ac:dyDescent="0.3"/>
    <row r="931" s="7" customFormat="1" ht="14.25" customHeight="1" x14ac:dyDescent="0.3"/>
    <row r="932" s="7" customFormat="1" ht="14.25" customHeight="1" x14ac:dyDescent="0.3"/>
    <row r="933" s="7" customFormat="1" ht="14.25" customHeight="1" x14ac:dyDescent="0.3"/>
    <row r="934" s="7" customFormat="1" ht="14.25" customHeight="1" x14ac:dyDescent="0.3"/>
    <row r="935" s="7" customFormat="1" ht="14.25" customHeight="1" x14ac:dyDescent="0.3"/>
    <row r="936" s="7" customFormat="1" ht="14.25" customHeight="1" x14ac:dyDescent="0.3"/>
    <row r="937" s="7" customFormat="1" ht="14.25" customHeight="1" x14ac:dyDescent="0.3"/>
    <row r="938" s="7" customFormat="1" ht="14.25" customHeight="1" x14ac:dyDescent="0.3"/>
    <row r="939" s="7" customFormat="1" ht="14.25" customHeight="1" x14ac:dyDescent="0.3"/>
    <row r="940" s="7" customFormat="1" ht="14.25" customHeight="1" x14ac:dyDescent="0.3"/>
    <row r="941" s="7" customFormat="1" ht="14.25" customHeight="1" x14ac:dyDescent="0.3"/>
    <row r="942" s="7" customFormat="1" ht="14.25" customHeight="1" x14ac:dyDescent="0.3"/>
    <row r="943" s="7" customFormat="1" ht="14.25" customHeight="1" x14ac:dyDescent="0.3"/>
    <row r="944" s="7" customFormat="1" ht="14.25" customHeight="1" x14ac:dyDescent="0.3"/>
    <row r="945" s="7" customFormat="1" ht="14.25" customHeight="1" x14ac:dyDescent="0.3"/>
    <row r="946" s="7" customFormat="1" ht="14.25" customHeight="1" x14ac:dyDescent="0.3"/>
    <row r="947" s="7" customFormat="1" ht="14.25" customHeight="1" x14ac:dyDescent="0.3"/>
    <row r="948" s="7" customFormat="1" ht="14.25" customHeight="1" x14ac:dyDescent="0.3"/>
    <row r="949" s="7" customFormat="1" ht="14.25" customHeight="1" x14ac:dyDescent="0.3"/>
    <row r="950" s="7" customFormat="1" ht="14.25" customHeight="1" x14ac:dyDescent="0.3"/>
    <row r="951" s="7" customFormat="1" ht="14.25" customHeight="1" x14ac:dyDescent="0.3"/>
    <row r="952" s="7" customFormat="1" ht="14.25" customHeight="1" x14ac:dyDescent="0.3"/>
    <row r="953" s="7" customFormat="1" ht="14.25" customHeight="1" x14ac:dyDescent="0.3"/>
    <row r="954" s="7" customFormat="1" ht="14.25" customHeight="1" x14ac:dyDescent="0.3"/>
    <row r="955" s="7" customFormat="1" ht="14.25" customHeight="1" x14ac:dyDescent="0.3"/>
    <row r="956" s="7" customFormat="1" ht="14.25" customHeight="1" x14ac:dyDescent="0.3"/>
    <row r="957" s="7" customFormat="1" ht="14.25" customHeight="1" x14ac:dyDescent="0.3"/>
    <row r="958" s="7" customFormat="1" ht="14.25" customHeight="1" x14ac:dyDescent="0.3"/>
    <row r="959" s="7" customFormat="1" ht="14.25" customHeight="1" x14ac:dyDescent="0.3"/>
    <row r="960" s="7" customFormat="1" ht="14.25" customHeight="1" x14ac:dyDescent="0.3"/>
    <row r="961" s="7" customFormat="1" ht="14.25" customHeight="1" x14ac:dyDescent="0.3"/>
    <row r="962" s="7" customFormat="1" ht="14.25" customHeight="1" x14ac:dyDescent="0.3"/>
    <row r="963" s="7" customFormat="1" ht="14.25" customHeight="1" x14ac:dyDescent="0.3"/>
    <row r="964" s="7" customFormat="1" ht="14.25" customHeight="1" x14ac:dyDescent="0.3"/>
    <row r="965" s="7" customFormat="1" ht="14.25" customHeight="1" x14ac:dyDescent="0.3"/>
    <row r="966" s="7" customFormat="1" ht="14.25" customHeight="1" x14ac:dyDescent="0.3"/>
    <row r="967" s="7" customFormat="1" ht="14.25" customHeight="1" x14ac:dyDescent="0.3"/>
    <row r="968" s="7" customFormat="1" ht="14.25" customHeight="1" x14ac:dyDescent="0.3"/>
    <row r="969" s="7" customFormat="1" ht="14.25" customHeight="1" x14ac:dyDescent="0.3"/>
    <row r="970" s="7" customFormat="1" ht="14.25" customHeight="1" x14ac:dyDescent="0.3"/>
    <row r="971" s="7" customFormat="1" ht="14.25" customHeight="1" x14ac:dyDescent="0.3"/>
    <row r="972" s="7" customFormat="1" ht="14.25" customHeight="1" x14ac:dyDescent="0.3"/>
    <row r="973" s="7" customFormat="1" ht="14.25" customHeight="1" x14ac:dyDescent="0.3"/>
    <row r="974" s="7" customFormat="1" ht="14.25" customHeight="1" x14ac:dyDescent="0.3"/>
    <row r="975" s="7" customFormat="1" ht="14.25" customHeight="1" x14ac:dyDescent="0.3"/>
    <row r="976" s="7" customFormat="1" ht="14.25" customHeight="1" x14ac:dyDescent="0.3"/>
    <row r="977" s="7" customFormat="1" ht="14.25" customHeight="1" x14ac:dyDescent="0.3"/>
    <row r="978" s="7" customFormat="1" ht="14.25" customHeight="1" x14ac:dyDescent="0.3"/>
    <row r="979" s="7" customFormat="1" ht="14.25" customHeight="1" x14ac:dyDescent="0.3"/>
    <row r="980" s="7" customFormat="1" ht="14.25" customHeight="1" x14ac:dyDescent="0.3"/>
    <row r="981" s="7" customFormat="1" ht="14.25" customHeight="1" x14ac:dyDescent="0.3"/>
    <row r="982" s="7" customFormat="1" ht="14.25" customHeight="1" x14ac:dyDescent="0.3"/>
    <row r="983" s="7" customFormat="1" ht="14.25" customHeight="1" x14ac:dyDescent="0.3"/>
    <row r="984" s="7" customFormat="1" ht="14.25" customHeight="1" x14ac:dyDescent="0.3"/>
    <row r="985" s="7" customFormat="1" ht="14.25" customHeight="1" x14ac:dyDescent="0.3"/>
    <row r="986" s="7" customFormat="1" ht="14.25" customHeight="1" x14ac:dyDescent="0.3"/>
    <row r="987" s="7" customFormat="1" ht="14.25" customHeight="1" x14ac:dyDescent="0.3"/>
    <row r="988" s="7" customFormat="1" ht="14.25" customHeight="1" x14ac:dyDescent="0.3"/>
    <row r="989" s="7" customFormat="1" ht="14.25" customHeight="1" x14ac:dyDescent="0.3"/>
    <row r="990" s="7" customFormat="1" ht="14.25" customHeight="1" x14ac:dyDescent="0.3"/>
    <row r="991" s="7" customFormat="1" ht="14.25" customHeight="1" x14ac:dyDescent="0.3"/>
    <row r="992" s="7" customFormat="1" ht="14.25" customHeight="1" x14ac:dyDescent="0.3"/>
    <row r="993" s="7" customFormat="1" ht="14.25" customHeight="1" x14ac:dyDescent="0.3"/>
    <row r="994" s="7" customFormat="1" ht="14.25" customHeight="1" x14ac:dyDescent="0.3"/>
    <row r="995" s="7" customFormat="1" ht="14.25" customHeight="1" x14ac:dyDescent="0.3"/>
    <row r="996" s="7" customFormat="1" ht="14.25" customHeight="1" x14ac:dyDescent="0.3"/>
    <row r="997" s="7" customFormat="1" ht="14.25" customHeight="1" x14ac:dyDescent="0.3"/>
    <row r="998" s="7" customFormat="1" ht="14.25" customHeight="1" x14ac:dyDescent="0.3"/>
    <row r="999" s="7" customFormat="1" ht="14.25" customHeight="1" x14ac:dyDescent="0.3"/>
    <row r="1000" s="7" customFormat="1" ht="14.25" customHeight="1" x14ac:dyDescent="0.3"/>
    <row r="1001" s="7" customFormat="1" ht="14.25" customHeight="1" x14ac:dyDescent="0.3"/>
    <row r="1002" s="7" customFormat="1" ht="14.25" customHeight="1" x14ac:dyDescent="0.3"/>
    <row r="1003" s="7" customFormat="1" ht="14.25" customHeight="1" x14ac:dyDescent="0.3"/>
    <row r="1004" s="7" customFormat="1" ht="14.25" customHeight="1" x14ac:dyDescent="0.3"/>
    <row r="1005" s="7" customFormat="1" ht="14.25" customHeight="1" x14ac:dyDescent="0.3"/>
    <row r="1006" s="7" customFormat="1" ht="14.25" customHeight="1" x14ac:dyDescent="0.3"/>
    <row r="1007" s="7" customFormat="1" ht="14.25" customHeight="1" x14ac:dyDescent="0.3"/>
    <row r="1008" s="7" customFormat="1" ht="14.25" customHeight="1" x14ac:dyDescent="0.3"/>
    <row r="1009" s="7" customFormat="1" ht="14.25" customHeight="1" x14ac:dyDescent="0.3"/>
    <row r="1010" s="7" customFormat="1" ht="14.25" customHeight="1" x14ac:dyDescent="0.3"/>
    <row r="1011" s="7" customFormat="1" ht="14.25" customHeight="1" x14ac:dyDescent="0.3"/>
    <row r="1012" s="7" customFormat="1" ht="14.25" customHeight="1" x14ac:dyDescent="0.3"/>
    <row r="1013" s="7" customFormat="1" ht="14.25" customHeight="1" x14ac:dyDescent="0.3"/>
    <row r="1014" s="7" customFormat="1" ht="14.25" customHeight="1" x14ac:dyDescent="0.3"/>
  </sheetData>
  <mergeCells count="3">
    <mergeCell ref="A79:B79"/>
    <mergeCell ref="A80:B80"/>
    <mergeCell ref="A81:B81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000"/>
  <sheetViews>
    <sheetView workbookViewId="0">
      <selection activeCell="E17" sqref="A1:XFD1048576"/>
    </sheetView>
  </sheetViews>
  <sheetFormatPr defaultColWidth="14.44140625" defaultRowHeight="15" customHeight="1" x14ac:dyDescent="0.3"/>
  <cols>
    <col min="1" max="1" width="21.33203125" style="7" customWidth="1"/>
    <col min="2" max="2" width="22.33203125" style="7" customWidth="1"/>
    <col min="3" max="3" width="16.6640625" style="7" customWidth="1"/>
    <col min="4" max="8" width="9" style="7" customWidth="1"/>
    <col min="9" max="9" width="11.5546875" style="7" customWidth="1"/>
    <col min="10" max="12" width="9" style="7" customWidth="1"/>
    <col min="13" max="13" width="13.88671875" style="7" customWidth="1"/>
    <col min="14" max="14" width="14.6640625" style="7" customWidth="1"/>
    <col min="15" max="15" width="9" style="7" customWidth="1"/>
    <col min="16" max="16" width="20" style="7" customWidth="1"/>
    <col min="17" max="17" width="16.33203125" style="7" customWidth="1"/>
    <col min="18" max="19" width="9" style="7" customWidth="1"/>
    <col min="20" max="20" width="19.6640625" style="7" customWidth="1"/>
    <col min="21" max="26" width="9" style="7" customWidth="1"/>
    <col min="27" max="16384" width="14.44140625" style="7"/>
  </cols>
  <sheetData>
    <row r="1" spans="1:23" ht="14.25" customHeight="1" x14ac:dyDescent="0.3"/>
    <row r="2" spans="1:23" ht="14.25" customHeight="1" x14ac:dyDescent="0.3">
      <c r="A2" s="22" t="s">
        <v>179</v>
      </c>
      <c r="B2" s="53">
        <f>W3</f>
        <v>4.2754999999999967E-2</v>
      </c>
      <c r="I2" s="7" t="s">
        <v>180</v>
      </c>
      <c r="J2" s="7" t="s">
        <v>181</v>
      </c>
      <c r="K2" s="7" t="s">
        <v>181</v>
      </c>
      <c r="M2" s="7" t="s">
        <v>182</v>
      </c>
      <c r="N2" s="7" t="s">
        <v>183</v>
      </c>
    </row>
    <row r="3" spans="1:23" ht="14.25" customHeight="1" x14ac:dyDescent="0.3">
      <c r="A3" s="22" t="s">
        <v>184</v>
      </c>
      <c r="B3" s="53">
        <v>8.1299999999999997E-2</v>
      </c>
      <c r="I3" s="92" t="s">
        <v>185</v>
      </c>
      <c r="J3" s="93">
        <v>1063.76</v>
      </c>
      <c r="K3" s="93">
        <v>23850</v>
      </c>
      <c r="L3" s="94"/>
      <c r="M3" s="95"/>
      <c r="N3" s="95"/>
      <c r="T3" s="96" t="s">
        <v>180</v>
      </c>
      <c r="U3" s="96" t="s">
        <v>181</v>
      </c>
      <c r="W3" s="11">
        <f>AVERAGE(U4:U158)/100</f>
        <v>4.2754999999999967E-2</v>
      </c>
    </row>
    <row r="4" spans="1:23" ht="14.25" customHeight="1" x14ac:dyDescent="0.3">
      <c r="A4" s="22" t="s">
        <v>186</v>
      </c>
      <c r="B4" s="71">
        <f>Q8</f>
        <v>1.0733333333333333</v>
      </c>
      <c r="I4" s="92" t="s">
        <v>187</v>
      </c>
      <c r="J4" s="93">
        <v>1090.8399999999999</v>
      </c>
      <c r="K4" s="93">
        <v>24300</v>
      </c>
      <c r="L4" s="94"/>
      <c r="M4" s="97">
        <f t="shared" ref="M4:N4" si="0">LN(J4/J3)</f>
        <v>2.5138240084342844E-2</v>
      </c>
      <c r="N4" s="97">
        <f t="shared" si="0"/>
        <v>1.8692133012152546E-2</v>
      </c>
      <c r="T4" s="96" t="s">
        <v>188</v>
      </c>
      <c r="U4" s="96">
        <v>4.4580000000000002</v>
      </c>
    </row>
    <row r="5" spans="1:23" ht="14.25" customHeight="1" x14ac:dyDescent="0.3">
      <c r="A5" s="22" t="s">
        <v>189</v>
      </c>
      <c r="B5" s="54">
        <v>17232280000000</v>
      </c>
      <c r="C5" s="35"/>
      <c r="I5" s="98">
        <v>45022</v>
      </c>
      <c r="J5" s="93">
        <v>1107.53</v>
      </c>
      <c r="K5" s="93">
        <v>23600</v>
      </c>
      <c r="L5" s="94"/>
      <c r="M5" s="97">
        <f t="shared" ref="M5:N5" si="1">LN(J5/J4)</f>
        <v>1.5184268955740741E-2</v>
      </c>
      <c r="N5" s="97">
        <f t="shared" si="1"/>
        <v>-2.9229638314938366E-2</v>
      </c>
      <c r="Q5" s="11"/>
      <c r="T5" s="96" t="s">
        <v>190</v>
      </c>
      <c r="U5" s="96">
        <v>4.4569999999999999</v>
      </c>
    </row>
    <row r="6" spans="1:23" ht="14.25" customHeight="1" x14ac:dyDescent="0.3">
      <c r="A6" s="22" t="s">
        <v>191</v>
      </c>
      <c r="B6" s="54">
        <v>555880006</v>
      </c>
      <c r="I6" s="98">
        <v>45236</v>
      </c>
      <c r="J6" s="93">
        <v>1115.22</v>
      </c>
      <c r="K6" s="93">
        <v>23850</v>
      </c>
      <c r="L6" s="94"/>
      <c r="M6" s="97">
        <f t="shared" ref="M6:N6" si="2">LN(J6/J5)</f>
        <v>6.919384259782755E-3</v>
      </c>
      <c r="N6" s="97">
        <f t="shared" si="2"/>
        <v>1.053750530278592E-2</v>
      </c>
      <c r="Q6" s="11"/>
      <c r="T6" s="96" t="s">
        <v>192</v>
      </c>
      <c r="U6" s="96">
        <v>4.3879999999999999</v>
      </c>
    </row>
    <row r="7" spans="1:23" ht="14.25" customHeight="1" x14ac:dyDescent="0.3">
      <c r="A7" s="22" t="s">
        <v>193</v>
      </c>
      <c r="B7" s="23">
        <f>Debt!F6</f>
        <v>4409257786391</v>
      </c>
      <c r="I7" s="7" t="s">
        <v>194</v>
      </c>
      <c r="J7" s="93">
        <v>1129.3800000000001</v>
      </c>
      <c r="K7" s="93">
        <v>24150</v>
      </c>
      <c r="L7" s="94"/>
      <c r="M7" s="97">
        <f t="shared" ref="M7:N7" si="3">LN(J7/J6)</f>
        <v>1.261711471582512E-2</v>
      </c>
      <c r="N7" s="97">
        <f t="shared" si="3"/>
        <v>1.2500162764231468E-2</v>
      </c>
      <c r="P7" s="7" t="s">
        <v>195</v>
      </c>
      <c r="Q7" s="99">
        <f>SLOPE(N4:N261,M4:M261)</f>
        <v>1.1114468433025857</v>
      </c>
      <c r="T7" s="96" t="s">
        <v>196</v>
      </c>
      <c r="U7" s="96">
        <v>4.3840000000000003</v>
      </c>
    </row>
    <row r="8" spans="1:23" ht="14.25" customHeight="1" x14ac:dyDescent="0.3">
      <c r="A8" s="22" t="s">
        <v>197</v>
      </c>
      <c r="B8" s="53">
        <f>B2+B4*B3</f>
        <v>0.13001699999999997</v>
      </c>
      <c r="I8" s="92" t="s">
        <v>198</v>
      </c>
      <c r="J8" s="93">
        <v>1120.18</v>
      </c>
      <c r="K8" s="93">
        <v>24500</v>
      </c>
      <c r="L8" s="94"/>
      <c r="M8" s="97">
        <f t="shared" ref="M8:N8" si="4">LN(J8/J7)</f>
        <v>-8.1794229024444113E-3</v>
      </c>
      <c r="N8" s="97">
        <f t="shared" si="4"/>
        <v>1.4388737452099671E-2</v>
      </c>
      <c r="P8" s="7" t="s">
        <v>199</v>
      </c>
      <c r="Q8" s="99">
        <f>2/3*1.11+1/3</f>
        <v>1.0733333333333333</v>
      </c>
      <c r="T8" s="96" t="s">
        <v>200</v>
      </c>
      <c r="U8" s="96">
        <v>4.3840000000000003</v>
      </c>
    </row>
    <row r="9" spans="1:23" ht="14.25" customHeight="1" x14ac:dyDescent="0.3">
      <c r="A9" s="22" t="s">
        <v>201</v>
      </c>
      <c r="B9" s="53">
        <f>Debt!B8</f>
        <v>6.5000000000000002E-2</v>
      </c>
      <c r="I9" s="98">
        <v>44964</v>
      </c>
      <c r="J9" s="93">
        <v>1138.07</v>
      </c>
      <c r="K9" s="93">
        <v>24850</v>
      </c>
      <c r="L9" s="94"/>
      <c r="M9" s="97">
        <f t="shared" ref="M9:N9" si="5">LN(J9/J8)</f>
        <v>1.5844458556378831E-2</v>
      </c>
      <c r="N9" s="97">
        <f t="shared" si="5"/>
        <v>1.4184634991956381E-2</v>
      </c>
      <c r="T9" s="96" t="s">
        <v>202</v>
      </c>
      <c r="U9" s="96">
        <v>4.3840000000000003</v>
      </c>
    </row>
    <row r="10" spans="1:23" ht="14.25" customHeight="1" x14ac:dyDescent="0.3">
      <c r="A10" s="22" t="s">
        <v>203</v>
      </c>
      <c r="B10" s="54">
        <f>B5+B7</f>
        <v>21641537786391</v>
      </c>
      <c r="I10" s="98">
        <v>45176</v>
      </c>
      <c r="J10" s="93">
        <v>1168.4000000000001</v>
      </c>
      <c r="K10" s="93">
        <v>25150</v>
      </c>
      <c r="L10" s="94"/>
      <c r="M10" s="97">
        <f t="shared" ref="M10:N10" si="6">LN(J10/J9)</f>
        <v>2.6301446295509737E-2</v>
      </c>
      <c r="N10" s="97">
        <f t="shared" si="6"/>
        <v>1.2000144003110558E-2</v>
      </c>
      <c r="T10" s="96" t="s">
        <v>204</v>
      </c>
      <c r="U10" s="96">
        <v>4.3840000000000003</v>
      </c>
    </row>
    <row r="11" spans="1:23" ht="14.25" customHeight="1" x14ac:dyDescent="0.3">
      <c r="A11" s="22" t="s">
        <v>205</v>
      </c>
      <c r="B11" s="53">
        <f>B5/B10</f>
        <v>0.79625949736512236</v>
      </c>
      <c r="I11" s="7" t="s">
        <v>206</v>
      </c>
      <c r="J11" s="93">
        <v>1185.9000000000001</v>
      </c>
      <c r="K11" s="93">
        <v>25100</v>
      </c>
      <c r="L11" s="94"/>
      <c r="M11" s="97">
        <f t="shared" ref="M11:N11" si="7">LN(J11/J10)</f>
        <v>1.4866688457163707E-2</v>
      </c>
      <c r="N11" s="97">
        <f t="shared" si="7"/>
        <v>-1.9900504080100361E-3</v>
      </c>
      <c r="T11" s="96" t="s">
        <v>207</v>
      </c>
      <c r="U11" s="96">
        <v>4.3789999999999996</v>
      </c>
    </row>
    <row r="12" spans="1:23" ht="14.25" customHeight="1" x14ac:dyDescent="0.3">
      <c r="A12" s="22" t="s">
        <v>208</v>
      </c>
      <c r="B12" s="53">
        <f>B7/B10</f>
        <v>0.20374050263487767</v>
      </c>
      <c r="I12" s="92" t="s">
        <v>209</v>
      </c>
      <c r="J12" s="93">
        <v>1207.67</v>
      </c>
      <c r="K12" s="93">
        <v>26450</v>
      </c>
      <c r="L12" s="94"/>
      <c r="M12" s="97">
        <f t="shared" ref="M12:N12" si="8">LN(J12/J11)</f>
        <v>1.8190903395936299E-2</v>
      </c>
      <c r="N12" s="97">
        <f t="shared" si="8"/>
        <v>5.2388312166570139E-2</v>
      </c>
      <c r="T12" s="96" t="s">
        <v>210</v>
      </c>
      <c r="U12" s="96">
        <v>4.3739999999999997</v>
      </c>
    </row>
    <row r="13" spans="1:23" ht="14.25" customHeight="1" x14ac:dyDescent="0.3">
      <c r="A13" s="22" t="s">
        <v>211</v>
      </c>
      <c r="B13" s="100">
        <v>0.2</v>
      </c>
      <c r="I13" s="92" t="s">
        <v>212</v>
      </c>
      <c r="J13" s="93">
        <v>1225.98</v>
      </c>
      <c r="K13" s="93">
        <v>25850</v>
      </c>
      <c r="L13" s="94"/>
      <c r="M13" s="97">
        <f t="shared" ref="M13:N13" si="9">LN(J13/J12)</f>
        <v>1.5047640782705896E-2</v>
      </c>
      <c r="N13" s="97">
        <f t="shared" si="9"/>
        <v>-2.2945557349870246E-2</v>
      </c>
      <c r="T13" s="96" t="s">
        <v>213</v>
      </c>
      <c r="U13" s="96">
        <v>4.3780000000000001</v>
      </c>
    </row>
    <row r="14" spans="1:23" ht="14.25" customHeight="1" x14ac:dyDescent="0.3">
      <c r="A14" s="22" t="s">
        <v>214</v>
      </c>
      <c r="B14" s="53">
        <f>B11*B8+B12*B9*(1-B13)</f>
        <v>0.11412177720593472</v>
      </c>
      <c r="I14" s="98">
        <v>45085</v>
      </c>
      <c r="J14" s="93">
        <v>1232.21</v>
      </c>
      <c r="K14" s="93">
        <v>25500</v>
      </c>
      <c r="L14" s="94"/>
      <c r="M14" s="97">
        <f t="shared" ref="M14:N14" si="10">LN(J14/J13)</f>
        <v>5.0687809638025457E-3</v>
      </c>
      <c r="N14" s="97">
        <f t="shared" si="10"/>
        <v>-1.3632148790057644E-2</v>
      </c>
      <c r="T14" s="96" t="s">
        <v>215</v>
      </c>
      <c r="U14" s="96">
        <v>4.375</v>
      </c>
    </row>
    <row r="15" spans="1:23" ht="14.25" customHeight="1" x14ac:dyDescent="0.3">
      <c r="I15" s="7" t="s">
        <v>216</v>
      </c>
      <c r="J15" s="93">
        <v>1177.99</v>
      </c>
      <c r="K15" s="93">
        <v>23750</v>
      </c>
      <c r="L15" s="94"/>
      <c r="M15" s="97">
        <f t="shared" ref="M15:N15" si="11">LN(J15/J14)</f>
        <v>-4.4999708902040081E-2</v>
      </c>
      <c r="N15" s="97">
        <f t="shared" si="11"/>
        <v>-7.1095921683730218E-2</v>
      </c>
      <c r="T15" s="96" t="s">
        <v>217</v>
      </c>
      <c r="U15" s="96">
        <v>4.375</v>
      </c>
    </row>
    <row r="16" spans="1:23" ht="14.25" customHeight="1" x14ac:dyDescent="0.3">
      <c r="I16" s="92" t="s">
        <v>218</v>
      </c>
      <c r="J16" s="93">
        <v>1183.3699999999999</v>
      </c>
      <c r="K16" s="93">
        <v>24650</v>
      </c>
      <c r="L16" s="94"/>
      <c r="M16" s="97">
        <f t="shared" ref="M16:N16" si="12">LN(J16/J15)</f>
        <v>4.5567040256369179E-3</v>
      </c>
      <c r="N16" s="97">
        <f t="shared" si="12"/>
        <v>3.7194370008048844E-2</v>
      </c>
      <c r="T16" s="96" t="s">
        <v>219</v>
      </c>
      <c r="U16" s="96">
        <v>4.3710000000000004</v>
      </c>
    </row>
    <row r="17" spans="9:21" ht="14.25" customHeight="1" x14ac:dyDescent="0.3">
      <c r="I17" s="92" t="s">
        <v>220</v>
      </c>
      <c r="J17" s="93">
        <v>1224.05</v>
      </c>
      <c r="K17" s="93">
        <v>25500</v>
      </c>
      <c r="L17" s="94"/>
      <c r="M17" s="97">
        <f t="shared" ref="M17:N17" si="13">LN(J17/J16)</f>
        <v>3.3798732674357776E-2</v>
      </c>
      <c r="N17" s="97">
        <f t="shared" si="13"/>
        <v>3.3901551675681416E-2</v>
      </c>
      <c r="T17" s="98">
        <v>46361</v>
      </c>
      <c r="U17" s="96">
        <v>4.3710000000000004</v>
      </c>
    </row>
    <row r="18" spans="9:21" ht="14.25" customHeight="1" x14ac:dyDescent="0.3">
      <c r="I18" s="98">
        <v>44994</v>
      </c>
      <c r="J18" s="93">
        <v>1241.48</v>
      </c>
      <c r="K18" s="93">
        <v>26450</v>
      </c>
      <c r="L18" s="94"/>
      <c r="M18" s="97">
        <f t="shared" ref="M18:N18" si="14">LN(J18/J17)</f>
        <v>1.4139183362407088E-2</v>
      </c>
      <c r="N18" s="97">
        <f t="shared" si="14"/>
        <v>3.6577706139928015E-2</v>
      </c>
      <c r="T18" s="98">
        <v>46331</v>
      </c>
      <c r="U18" s="96">
        <v>4.37</v>
      </c>
    </row>
    <row r="19" spans="9:21" ht="14.25" customHeight="1" x14ac:dyDescent="0.3">
      <c r="I19" s="98">
        <v>45208</v>
      </c>
      <c r="J19" s="93">
        <v>1227.3599999999999</v>
      </c>
      <c r="K19" s="93">
        <v>27200</v>
      </c>
      <c r="L19" s="94"/>
      <c r="M19" s="97">
        <f t="shared" ref="M19:N19" si="15">LN(J19/J18)</f>
        <v>-1.1438695062569768E-2</v>
      </c>
      <c r="N19" s="97">
        <f t="shared" si="15"/>
        <v>2.7960814997643291E-2</v>
      </c>
      <c r="T19" s="98">
        <v>46239</v>
      </c>
      <c r="U19" s="96">
        <v>4.3719999999999999</v>
      </c>
    </row>
    <row r="20" spans="9:21" ht="14.25" customHeight="1" x14ac:dyDescent="0.3">
      <c r="I20" s="7" t="s">
        <v>221</v>
      </c>
      <c r="J20" s="93">
        <v>1193.05</v>
      </c>
      <c r="K20" s="93">
        <v>25450</v>
      </c>
      <c r="L20" s="94"/>
      <c r="M20" s="97">
        <f t="shared" ref="M20:N20" si="16">LN(J20/J19)</f>
        <v>-2.8352467842952252E-2</v>
      </c>
      <c r="N20" s="97">
        <f t="shared" si="16"/>
        <v>-6.6501230305419878E-2</v>
      </c>
      <c r="T20" s="98">
        <v>46208</v>
      </c>
      <c r="U20" s="96">
        <v>4.3730000000000002</v>
      </c>
    </row>
    <row r="21" spans="9:21" ht="14.25" customHeight="1" x14ac:dyDescent="0.3">
      <c r="I21" s="92" t="s">
        <v>222</v>
      </c>
      <c r="J21" s="93">
        <v>1154.1500000000001</v>
      </c>
      <c r="K21" s="93">
        <v>25800</v>
      </c>
      <c r="L21" s="94"/>
      <c r="M21" s="97">
        <f t="shared" ref="M21:N21" si="17">LN(J21/J20)</f>
        <v>-3.3148911078026581E-2</v>
      </c>
      <c r="N21" s="97">
        <f t="shared" si="17"/>
        <v>1.3658748931040044E-2</v>
      </c>
      <c r="T21" s="98">
        <v>46178</v>
      </c>
      <c r="U21" s="96">
        <v>4.3719999999999999</v>
      </c>
    </row>
    <row r="22" spans="9:21" ht="14.25" customHeight="1" x14ac:dyDescent="0.3">
      <c r="I22" s="98">
        <v>44936</v>
      </c>
      <c r="J22" s="93">
        <v>1128.54</v>
      </c>
      <c r="K22" s="93">
        <v>25800</v>
      </c>
      <c r="L22" s="94"/>
      <c r="M22" s="97">
        <f t="shared" ref="M22:N22" si="18">LN(J22/J21)</f>
        <v>-2.2439380379239125E-2</v>
      </c>
      <c r="N22" s="97">
        <f t="shared" si="18"/>
        <v>0</v>
      </c>
      <c r="T22" s="98">
        <v>46147</v>
      </c>
      <c r="U22" s="96">
        <v>4.3650000000000002</v>
      </c>
    </row>
    <row r="23" spans="9:21" ht="14.25" customHeight="1" x14ac:dyDescent="0.3">
      <c r="I23" s="98">
        <v>45148</v>
      </c>
      <c r="J23" s="93">
        <v>1154.73</v>
      </c>
      <c r="K23" s="93">
        <v>28450</v>
      </c>
      <c r="L23" s="94"/>
      <c r="M23" s="97">
        <f t="shared" ref="M23:N23" si="19">LN(J23/J22)</f>
        <v>2.2941788483774584E-2</v>
      </c>
      <c r="N23" s="97">
        <f t="shared" si="19"/>
        <v>9.777366864476815E-2</v>
      </c>
      <c r="T23" s="98">
        <v>46117</v>
      </c>
      <c r="U23" s="96">
        <v>4.3490000000000002</v>
      </c>
    </row>
    <row r="24" spans="9:21" ht="14.25" customHeight="1" x14ac:dyDescent="0.3">
      <c r="I24" s="7" t="s">
        <v>223</v>
      </c>
      <c r="J24" s="93">
        <v>1108.03</v>
      </c>
      <c r="K24" s="93">
        <v>28300</v>
      </c>
      <c r="L24" s="94"/>
      <c r="M24" s="97">
        <f t="shared" ref="M24:N24" si="20">LN(J24/J23)</f>
        <v>-4.1282886641582445E-2</v>
      </c>
      <c r="N24" s="97">
        <f t="shared" si="20"/>
        <v>-5.2863559231479491E-3</v>
      </c>
      <c r="T24" s="98">
        <v>46027</v>
      </c>
      <c r="U24" s="96">
        <v>4.3710000000000004</v>
      </c>
    </row>
    <row r="25" spans="9:21" ht="14.25" customHeight="1" x14ac:dyDescent="0.3">
      <c r="I25" s="92" t="s">
        <v>224</v>
      </c>
      <c r="J25" s="93">
        <v>1060.6199999999999</v>
      </c>
      <c r="K25" s="93">
        <v>25800</v>
      </c>
      <c r="L25" s="94"/>
      <c r="M25" s="97">
        <f t="shared" ref="M25:N25" si="21">LN(J25/J24)</f>
        <v>-4.3730020977113593E-2</v>
      </c>
      <c r="N25" s="97">
        <f t="shared" si="21"/>
        <v>-9.2487312721620155E-2</v>
      </c>
      <c r="T25" s="96" t="s">
        <v>225</v>
      </c>
      <c r="U25" s="96">
        <v>4.3710000000000004</v>
      </c>
    </row>
    <row r="26" spans="9:21" ht="14.25" customHeight="1" x14ac:dyDescent="0.3">
      <c r="I26" s="92" t="s">
        <v>226</v>
      </c>
      <c r="J26" s="93">
        <v>1076.78</v>
      </c>
      <c r="K26" s="93">
        <v>25750</v>
      </c>
      <c r="L26" s="94"/>
      <c r="M26" s="97">
        <f t="shared" ref="M26:N26" si="22">LN(J26/J25)</f>
        <v>1.5121463390863097E-2</v>
      </c>
      <c r="N26" s="97">
        <f t="shared" si="22"/>
        <v>-1.9398648178265917E-3</v>
      </c>
      <c r="T26" s="96" t="s">
        <v>227</v>
      </c>
      <c r="U26" s="96">
        <v>4.3710000000000004</v>
      </c>
    </row>
    <row r="27" spans="9:21" ht="14.25" customHeight="1" x14ac:dyDescent="0.3">
      <c r="I27" s="98">
        <v>45057</v>
      </c>
      <c r="J27" s="93">
        <v>1101.68</v>
      </c>
      <c r="K27" s="93">
        <v>26800</v>
      </c>
      <c r="L27" s="94"/>
      <c r="M27" s="97">
        <f t="shared" ref="M27:N27" si="23">LN(J27/J26)</f>
        <v>2.2861181252160637E-2</v>
      </c>
      <c r="N27" s="97">
        <f t="shared" si="23"/>
        <v>3.9967260407065913E-2</v>
      </c>
      <c r="T27" s="96" t="s">
        <v>228</v>
      </c>
      <c r="U27" s="96">
        <v>4.3659999999999997</v>
      </c>
    </row>
    <row r="28" spans="9:21" ht="14.25" customHeight="1" x14ac:dyDescent="0.3">
      <c r="I28" s="98">
        <v>45271</v>
      </c>
      <c r="J28" s="93">
        <v>1101.19</v>
      </c>
      <c r="K28" s="93">
        <v>26400</v>
      </c>
      <c r="L28" s="94"/>
      <c r="M28" s="97">
        <f t="shared" ref="M28:N28" si="24">LN(J28/J27)</f>
        <v>-4.4487419419343818E-4</v>
      </c>
      <c r="N28" s="97">
        <f t="shared" si="24"/>
        <v>-1.5037877364540559E-2</v>
      </c>
      <c r="T28" s="96" t="s">
        <v>229</v>
      </c>
      <c r="U28" s="96">
        <v>4.3659999999999997</v>
      </c>
    </row>
    <row r="29" spans="9:21" ht="14.25" customHeight="1" x14ac:dyDescent="0.3">
      <c r="I29" s="92" t="s">
        <v>230</v>
      </c>
      <c r="J29" s="93">
        <v>1095.6099999999999</v>
      </c>
      <c r="K29" s="93">
        <v>27000</v>
      </c>
      <c r="L29" s="94"/>
      <c r="M29" s="97">
        <f t="shared" ref="M29:N29" si="25">LN(J29/J28)</f>
        <v>-5.0801274586427386E-3</v>
      </c>
      <c r="N29" s="97">
        <f t="shared" si="25"/>
        <v>2.2472855852058576E-2</v>
      </c>
      <c r="T29" s="96" t="s">
        <v>231</v>
      </c>
      <c r="U29" s="96">
        <v>4.3659999999999997</v>
      </c>
    </row>
    <row r="30" spans="9:21" ht="14.25" customHeight="1" x14ac:dyDescent="0.3">
      <c r="I30" s="92" t="s">
        <v>232</v>
      </c>
      <c r="J30" s="93">
        <v>1102.1600000000001</v>
      </c>
      <c r="K30" s="93">
        <v>28350</v>
      </c>
      <c r="L30" s="94"/>
      <c r="M30" s="97">
        <f t="shared" ref="M30:N30" si="26">LN(J30/J29)</f>
        <v>5.9606049703093272E-3</v>
      </c>
      <c r="N30" s="97">
        <f t="shared" si="26"/>
        <v>4.8790164169432049E-2</v>
      </c>
      <c r="T30" s="96" t="s">
        <v>233</v>
      </c>
      <c r="U30" s="96">
        <v>4.3680000000000003</v>
      </c>
    </row>
    <row r="31" spans="9:21" ht="14.25" customHeight="1" x14ac:dyDescent="0.3">
      <c r="I31" s="98">
        <v>44997</v>
      </c>
      <c r="J31" s="93">
        <v>1124.44</v>
      </c>
      <c r="K31" s="93">
        <v>28500</v>
      </c>
      <c r="L31" s="94"/>
      <c r="M31" s="97">
        <f t="shared" ref="M31:N31" si="27">LN(J31/J30)</f>
        <v>2.0013243191912122E-2</v>
      </c>
      <c r="N31" s="97">
        <f t="shared" si="27"/>
        <v>5.2770571008438193E-3</v>
      </c>
      <c r="T31" s="96" t="s">
        <v>234</v>
      </c>
      <c r="U31" s="96">
        <v>4.3719999999999999</v>
      </c>
    </row>
    <row r="32" spans="9:21" ht="14.25" customHeight="1" x14ac:dyDescent="0.3">
      <c r="I32" s="98">
        <v>45211</v>
      </c>
      <c r="J32" s="93">
        <v>1102.3</v>
      </c>
      <c r="K32" s="93">
        <v>27000</v>
      </c>
      <c r="L32" s="94"/>
      <c r="M32" s="97">
        <f t="shared" ref="M32:N32" si="28">LN(J32/J31)</f>
        <v>-1.9886227958986077E-2</v>
      </c>
      <c r="N32" s="97">
        <f t="shared" si="28"/>
        <v>-5.4067221270275821E-2</v>
      </c>
      <c r="T32" s="96" t="s">
        <v>235</v>
      </c>
      <c r="U32" s="96">
        <v>4.3719999999999999</v>
      </c>
    </row>
    <row r="33" spans="9:21" ht="14.25" customHeight="1" x14ac:dyDescent="0.3">
      <c r="I33" s="7" t="s">
        <v>236</v>
      </c>
      <c r="J33" s="93">
        <v>1103.06</v>
      </c>
      <c r="K33" s="93">
        <v>27800</v>
      </c>
      <c r="L33" s="94"/>
      <c r="M33" s="97">
        <f t="shared" ref="M33:N33" si="29">LN(J33/J32)</f>
        <v>6.8922990358563424E-4</v>
      </c>
      <c r="N33" s="97">
        <f t="shared" si="29"/>
        <v>2.919915469226235E-2</v>
      </c>
      <c r="T33" s="96" t="s">
        <v>237</v>
      </c>
      <c r="U33" s="96">
        <v>4.3719999999999999</v>
      </c>
    </row>
    <row r="34" spans="9:21" ht="14.25" customHeight="1" x14ac:dyDescent="0.3">
      <c r="I34" s="92" t="s">
        <v>238</v>
      </c>
      <c r="J34" s="93">
        <v>1129.93</v>
      </c>
      <c r="K34" s="93">
        <v>28300</v>
      </c>
      <c r="L34" s="94"/>
      <c r="M34" s="97">
        <f t="shared" ref="M34:N34" si="30">LN(J34/J33)</f>
        <v>2.4067548012087433E-2</v>
      </c>
      <c r="N34" s="97">
        <f t="shared" si="30"/>
        <v>1.7825783952600666E-2</v>
      </c>
      <c r="T34" s="96" t="s">
        <v>239</v>
      </c>
      <c r="U34" s="96">
        <v>4.3559999999999999</v>
      </c>
    </row>
    <row r="35" spans="9:21" ht="14.25" customHeight="1" x14ac:dyDescent="0.3">
      <c r="I35" s="7" t="s">
        <v>240</v>
      </c>
      <c r="J35" s="93">
        <v>1154.68</v>
      </c>
      <c r="K35" s="93">
        <v>27800</v>
      </c>
      <c r="L35" s="94"/>
      <c r="M35" s="97">
        <f t="shared" ref="M35:N35" si="31">LN(J35/J34)</f>
        <v>2.16675654067142E-2</v>
      </c>
      <c r="N35" s="97">
        <f t="shared" si="31"/>
        <v>-1.7825783952600573E-2</v>
      </c>
      <c r="T35" s="96" t="s">
        <v>241</v>
      </c>
      <c r="U35" s="96">
        <v>4.3550000000000004</v>
      </c>
    </row>
    <row r="36" spans="9:21" ht="14.25" customHeight="1" x14ac:dyDescent="0.3">
      <c r="I36" s="98">
        <v>45474</v>
      </c>
      <c r="J36" s="93">
        <v>1154.7</v>
      </c>
      <c r="K36" s="93">
        <v>26900</v>
      </c>
      <c r="L36" s="94"/>
      <c r="M36" s="97">
        <f t="shared" ref="M36:N36" si="32">LN(J36/J35)</f>
        <v>1.732066615330312E-5</v>
      </c>
      <c r="N36" s="97">
        <f t="shared" si="32"/>
        <v>-3.2909734088797979E-2</v>
      </c>
      <c r="T36" s="96" t="s">
        <v>242</v>
      </c>
      <c r="U36" s="96">
        <v>4.3559999999999999</v>
      </c>
    </row>
    <row r="37" spans="9:21" ht="14.25" customHeight="1" x14ac:dyDescent="0.3">
      <c r="I37" s="7" t="s">
        <v>243</v>
      </c>
      <c r="J37" s="93">
        <v>1181.5</v>
      </c>
      <c r="K37" s="93">
        <v>27350</v>
      </c>
      <c r="L37" s="94"/>
      <c r="M37" s="97">
        <f t="shared" ref="M37:N37" si="33">LN(J37/J36)</f>
        <v>2.2944247669152356E-2</v>
      </c>
      <c r="N37" s="97">
        <f t="shared" si="33"/>
        <v>1.6590242260196789E-2</v>
      </c>
      <c r="T37" s="96" t="s">
        <v>244</v>
      </c>
      <c r="U37" s="96">
        <v>4.3630000000000004</v>
      </c>
    </row>
    <row r="38" spans="9:21" ht="14.25" customHeight="1" x14ac:dyDescent="0.3">
      <c r="I38" s="92" t="s">
        <v>245</v>
      </c>
      <c r="J38" s="93">
        <v>1175.67</v>
      </c>
      <c r="K38" s="93">
        <v>27650</v>
      </c>
      <c r="L38" s="94"/>
      <c r="M38" s="97">
        <f t="shared" ref="M38:N38" si="34">LN(J38/J37)</f>
        <v>-4.9466197922712228E-3</v>
      </c>
      <c r="N38" s="97">
        <f t="shared" si="34"/>
        <v>1.0909199100353531E-2</v>
      </c>
      <c r="T38" s="96" t="s">
        <v>246</v>
      </c>
      <c r="U38" s="96">
        <v>4.3680000000000003</v>
      </c>
    </row>
    <row r="39" spans="9:21" ht="14.25" customHeight="1" x14ac:dyDescent="0.3">
      <c r="I39" s="92" t="s">
        <v>247</v>
      </c>
      <c r="J39" s="93">
        <v>1172.55</v>
      </c>
      <c r="K39" s="93">
        <v>27800</v>
      </c>
      <c r="L39" s="94"/>
      <c r="M39" s="97">
        <f t="shared" ref="M39:N39" si="35">LN(J39/J38)</f>
        <v>-2.6573335002423163E-3</v>
      </c>
      <c r="N39" s="97">
        <f t="shared" si="35"/>
        <v>5.4102927282474794E-3</v>
      </c>
      <c r="T39" s="98">
        <v>46299</v>
      </c>
      <c r="U39" s="96">
        <v>4.3769999999999998</v>
      </c>
    </row>
    <row r="40" spans="9:21" ht="14.25" customHeight="1" x14ac:dyDescent="0.3">
      <c r="I40" s="98">
        <v>45384</v>
      </c>
      <c r="J40" s="93">
        <v>1198.53</v>
      </c>
      <c r="K40" s="93">
        <v>28750</v>
      </c>
      <c r="L40" s="94"/>
      <c r="M40" s="97">
        <f t="shared" ref="M40:N40" si="36">LN(J40/J39)</f>
        <v>2.1914941515823745E-2</v>
      </c>
      <c r="N40" s="97">
        <f t="shared" si="36"/>
        <v>3.360174654676807E-2</v>
      </c>
      <c r="T40" s="98">
        <v>46269</v>
      </c>
      <c r="U40" s="96">
        <v>4.3630000000000004</v>
      </c>
    </row>
    <row r="41" spans="9:21" ht="14.25" customHeight="1" x14ac:dyDescent="0.3">
      <c r="I41" s="98">
        <v>45598</v>
      </c>
      <c r="J41" s="93">
        <v>1209.7</v>
      </c>
      <c r="K41" s="93">
        <v>28500</v>
      </c>
      <c r="L41" s="94"/>
      <c r="M41" s="97">
        <f t="shared" ref="M41:N41" si="37">LN(J41/J40)</f>
        <v>9.2765891155297611E-3</v>
      </c>
      <c r="N41" s="97">
        <f t="shared" si="37"/>
        <v>-8.7336799687545534E-3</v>
      </c>
      <c r="T41" s="98">
        <v>46238</v>
      </c>
      <c r="U41" s="96">
        <v>4.3630000000000004</v>
      </c>
    </row>
    <row r="42" spans="9:21" ht="14.25" customHeight="1" x14ac:dyDescent="0.3">
      <c r="I42" s="92" t="s">
        <v>248</v>
      </c>
      <c r="J42" s="93">
        <v>1212</v>
      </c>
      <c r="K42" s="93">
        <v>28350</v>
      </c>
      <c r="L42" s="94"/>
      <c r="M42" s="97">
        <f t="shared" ref="M42:N42" si="38">LN(J42/J41)</f>
        <v>1.8994926634571341E-3</v>
      </c>
      <c r="N42" s="97">
        <f t="shared" si="38"/>
        <v>-5.2770571008437812E-3</v>
      </c>
      <c r="T42" s="98">
        <v>46207</v>
      </c>
      <c r="U42" s="96">
        <v>4.3659999999999997</v>
      </c>
    </row>
    <row r="43" spans="9:21" ht="14.25" customHeight="1" x14ac:dyDescent="0.3">
      <c r="I43" s="92" t="s">
        <v>249</v>
      </c>
      <c r="J43" s="93">
        <v>1258.28</v>
      </c>
      <c r="K43" s="93">
        <v>31800</v>
      </c>
      <c r="L43" s="94"/>
      <c r="M43" s="97">
        <f t="shared" ref="M43:N43" si="39">LN(J43/J42)</f>
        <v>3.7473821381563653E-2</v>
      </c>
      <c r="N43" s="97">
        <f t="shared" si="39"/>
        <v>0.11483925961237001</v>
      </c>
      <c r="T43" s="98">
        <v>46177</v>
      </c>
      <c r="U43" s="96">
        <v>4.3609999999999998</v>
      </c>
    </row>
    <row r="44" spans="9:21" ht="14.25" customHeight="1" x14ac:dyDescent="0.3">
      <c r="I44" s="98">
        <v>45354</v>
      </c>
      <c r="J44" s="93">
        <v>1247.3499999999999</v>
      </c>
      <c r="K44" s="93">
        <v>30800</v>
      </c>
      <c r="L44" s="94"/>
      <c r="M44" s="97">
        <f t="shared" ref="M44:N44" si="40">LN(J44/J43)</f>
        <v>-8.7244080955779062E-3</v>
      </c>
      <c r="N44" s="97">
        <f t="shared" si="40"/>
        <v>-3.1951599806602358E-2</v>
      </c>
      <c r="T44" s="98">
        <v>46085</v>
      </c>
      <c r="U44" s="96">
        <v>4.3449999999999998</v>
      </c>
    </row>
    <row r="45" spans="9:21" ht="14.25" customHeight="1" x14ac:dyDescent="0.3">
      <c r="I45" s="98">
        <v>45568</v>
      </c>
      <c r="J45" s="93">
        <v>1263.78</v>
      </c>
      <c r="K45" s="93">
        <v>32800</v>
      </c>
      <c r="L45" s="94"/>
      <c r="M45" s="97">
        <f t="shared" ref="M45:N45" si="41">LN(J45/J44)</f>
        <v>1.3085929010076471E-2</v>
      </c>
      <c r="N45" s="97">
        <f t="shared" si="41"/>
        <v>6.2913825410569182E-2</v>
      </c>
      <c r="T45" s="98">
        <v>46057</v>
      </c>
      <c r="U45" s="96">
        <v>4.3579999999999997</v>
      </c>
    </row>
    <row r="46" spans="9:21" ht="14.25" customHeight="1" x14ac:dyDescent="0.3">
      <c r="I46" s="7" t="s">
        <v>250</v>
      </c>
      <c r="J46" s="93">
        <v>1281.8</v>
      </c>
      <c r="K46" s="93">
        <v>31950</v>
      </c>
      <c r="L46" s="94"/>
      <c r="M46" s="97">
        <f t="shared" ref="M46:N46" si="42">LN(J46/J45)</f>
        <v>1.4158110144804236E-2</v>
      </c>
      <c r="N46" s="97">
        <f t="shared" si="42"/>
        <v>-2.6256334566554206E-2</v>
      </c>
      <c r="T46" s="98">
        <v>46026</v>
      </c>
      <c r="U46" s="96">
        <v>4.3650000000000002</v>
      </c>
    </row>
    <row r="47" spans="9:21" ht="14.25" customHeight="1" x14ac:dyDescent="0.3">
      <c r="I47" s="92" t="s">
        <v>251</v>
      </c>
      <c r="J47" s="93">
        <v>1284.0899999999999</v>
      </c>
      <c r="K47" s="93">
        <v>32350</v>
      </c>
      <c r="L47" s="94"/>
      <c r="M47" s="97">
        <f t="shared" ref="M47:N47" si="43">LN(J47/J46)</f>
        <v>1.7849561812923037E-3</v>
      </c>
      <c r="N47" s="97">
        <f t="shared" si="43"/>
        <v>1.244184012336572E-2</v>
      </c>
      <c r="T47" s="96" t="s">
        <v>252</v>
      </c>
      <c r="U47" s="96">
        <v>4.3620000000000001</v>
      </c>
    </row>
    <row r="48" spans="9:21" ht="14.25" customHeight="1" x14ac:dyDescent="0.3">
      <c r="I48" s="92" t="s">
        <v>253</v>
      </c>
      <c r="J48" s="93">
        <v>1255.1099999999999</v>
      </c>
      <c r="K48" s="93">
        <v>32900</v>
      </c>
      <c r="L48" s="94"/>
      <c r="M48" s="97">
        <f t="shared" ref="M48:N48" si="44">LN(J48/J47)</f>
        <v>-2.2827078124128465E-2</v>
      </c>
      <c r="N48" s="97">
        <f t="shared" si="44"/>
        <v>1.6858636824416611E-2</v>
      </c>
      <c r="T48" s="96" t="s">
        <v>254</v>
      </c>
      <c r="U48" s="96">
        <v>4.3529999999999998</v>
      </c>
    </row>
    <row r="49" spans="9:21" ht="14.25" customHeight="1" x14ac:dyDescent="0.3">
      <c r="I49" s="98">
        <v>45477</v>
      </c>
      <c r="J49" s="93">
        <v>1276.5999999999999</v>
      </c>
      <c r="K49" s="93">
        <v>32800</v>
      </c>
      <c r="L49" s="94"/>
      <c r="M49" s="97">
        <f t="shared" ref="M49:N49" si="45">LN(J49/J48)</f>
        <v>1.6977075694666752E-2</v>
      </c>
      <c r="N49" s="97">
        <f t="shared" si="45"/>
        <v>-3.0441423812281325E-3</v>
      </c>
      <c r="T49" s="96" t="s">
        <v>255</v>
      </c>
      <c r="U49" s="96">
        <v>4.3579999999999997</v>
      </c>
    </row>
    <row r="50" spans="9:21" ht="14.25" customHeight="1" x14ac:dyDescent="0.3">
      <c r="I50" s="7" t="s">
        <v>256</v>
      </c>
      <c r="J50" s="93">
        <v>1174.8499999999999</v>
      </c>
      <c r="K50" s="93">
        <v>29300</v>
      </c>
      <c r="L50" s="94"/>
      <c r="M50" s="97">
        <f t="shared" ref="M50:N50" si="46">LN(J50/J49)</f>
        <v>-8.3059813967342772E-2</v>
      </c>
      <c r="N50" s="97">
        <f t="shared" si="46"/>
        <v>-0.11284099936707641</v>
      </c>
      <c r="T50" s="96" t="s">
        <v>257</v>
      </c>
      <c r="U50" s="96">
        <v>4.3419999999999996</v>
      </c>
    </row>
    <row r="51" spans="9:21" ht="14.25" customHeight="1" x14ac:dyDescent="0.3">
      <c r="I51" s="92" t="s">
        <v>258</v>
      </c>
      <c r="J51" s="93">
        <v>1209.52</v>
      </c>
      <c r="K51" s="93">
        <v>29750</v>
      </c>
      <c r="L51" s="94"/>
      <c r="M51" s="97">
        <f t="shared" ref="M51:N51" si="47">LN(J51/J50)</f>
        <v>2.9083106817331582E-2</v>
      </c>
      <c r="N51" s="97">
        <f t="shared" si="47"/>
        <v>1.5241615968617041E-2</v>
      </c>
      <c r="T51" s="96" t="s">
        <v>259</v>
      </c>
      <c r="U51" s="96">
        <v>4.34</v>
      </c>
    </row>
    <row r="52" spans="9:21" ht="14.25" customHeight="1" x14ac:dyDescent="0.3">
      <c r="I52" s="92" t="s">
        <v>260</v>
      </c>
      <c r="J52" s="93">
        <v>1221.03</v>
      </c>
      <c r="K52" s="93">
        <v>29800</v>
      </c>
      <c r="L52" s="94"/>
      <c r="M52" s="97">
        <f t="shared" ref="M52:N52" si="48">LN(J52/J51)</f>
        <v>9.4711781614908921E-3</v>
      </c>
      <c r="N52" s="97">
        <f t="shared" si="48"/>
        <v>1.6792615197199939E-3</v>
      </c>
      <c r="T52" s="96" t="s">
        <v>261</v>
      </c>
      <c r="U52" s="96">
        <v>4.3529999999999998</v>
      </c>
    </row>
    <row r="53" spans="9:21" ht="14.25" customHeight="1" x14ac:dyDescent="0.3">
      <c r="I53" s="98">
        <v>45417</v>
      </c>
      <c r="J53" s="93">
        <v>1244.7</v>
      </c>
      <c r="K53" s="93">
        <v>32150</v>
      </c>
      <c r="L53" s="94"/>
      <c r="M53" s="97">
        <f t="shared" ref="M53:N53" si="49">LN(J53/J52)</f>
        <v>1.9199772173495333E-2</v>
      </c>
      <c r="N53" s="97">
        <f t="shared" si="49"/>
        <v>7.5904057172269696E-2</v>
      </c>
      <c r="T53" s="96" t="s">
        <v>262</v>
      </c>
      <c r="U53" s="96">
        <v>4.3369999999999997</v>
      </c>
    </row>
    <row r="54" spans="9:21" ht="14.25" customHeight="1" x14ac:dyDescent="0.3">
      <c r="I54" s="98">
        <v>45631</v>
      </c>
      <c r="J54" s="93">
        <v>1273.1099999999999</v>
      </c>
      <c r="K54" s="93">
        <v>32600</v>
      </c>
      <c r="L54" s="94"/>
      <c r="M54" s="97">
        <f t="shared" ref="M54:N54" si="50">LN(J54/J53)</f>
        <v>2.2568188872328965E-2</v>
      </c>
      <c r="N54" s="97">
        <f t="shared" si="50"/>
        <v>1.3899837689033518E-2</v>
      </c>
      <c r="T54" s="96" t="s">
        <v>263</v>
      </c>
      <c r="U54" s="96">
        <v>4.351</v>
      </c>
    </row>
    <row r="55" spans="9:21" ht="14.25" customHeight="1" x14ac:dyDescent="0.3">
      <c r="I55" s="7" t="s">
        <v>264</v>
      </c>
      <c r="J55" s="93">
        <v>1261.93</v>
      </c>
      <c r="K55" s="93">
        <v>31700</v>
      </c>
      <c r="L55" s="94"/>
      <c r="M55" s="97">
        <f t="shared" ref="M55:N55" si="51">LN(J55/J54)</f>
        <v>-8.8204308283675713E-3</v>
      </c>
      <c r="N55" s="97">
        <f t="shared" si="51"/>
        <v>-2.799560748942698E-2</v>
      </c>
      <c r="T55" s="96" t="s">
        <v>265</v>
      </c>
      <c r="U55" s="96">
        <v>4.335</v>
      </c>
    </row>
    <row r="56" spans="9:21" ht="14.25" customHeight="1" x14ac:dyDescent="0.3">
      <c r="I56" s="92" t="s">
        <v>266</v>
      </c>
      <c r="J56" s="93">
        <v>1261.72</v>
      </c>
      <c r="K56" s="93">
        <v>31650</v>
      </c>
      <c r="L56" s="94"/>
      <c r="M56" s="97">
        <f t="shared" ref="M56:N56" si="52">LN(J56/J55)</f>
        <v>-1.6642561407860493E-4</v>
      </c>
      <c r="N56" s="97">
        <f t="shared" si="52"/>
        <v>-1.5785322930497267E-3</v>
      </c>
      <c r="T56" s="96" t="s">
        <v>267</v>
      </c>
      <c r="U56" s="96">
        <v>4.3369999999999997</v>
      </c>
    </row>
    <row r="57" spans="9:21" ht="14.25" customHeight="1" x14ac:dyDescent="0.3">
      <c r="I57" s="98">
        <v>45328</v>
      </c>
      <c r="J57" s="93">
        <v>1287.58</v>
      </c>
      <c r="K57" s="93">
        <v>31700</v>
      </c>
      <c r="L57" s="94"/>
      <c r="M57" s="97">
        <f t="shared" ref="M57:N57" si="53">LN(J57/J56)</f>
        <v>2.0288618093050121E-2</v>
      </c>
      <c r="N57" s="97">
        <f t="shared" si="53"/>
        <v>1.5785322930497896E-3</v>
      </c>
      <c r="T57" s="96" t="s">
        <v>268</v>
      </c>
      <c r="U57" s="96">
        <v>4.3289999999999997</v>
      </c>
    </row>
    <row r="58" spans="9:21" ht="14.25" customHeight="1" x14ac:dyDescent="0.3">
      <c r="I58" s="98">
        <v>45541</v>
      </c>
      <c r="J58" s="93">
        <v>1279.9100000000001</v>
      </c>
      <c r="K58" s="93">
        <v>31200</v>
      </c>
      <c r="L58" s="94"/>
      <c r="M58" s="97">
        <f t="shared" ref="M58:N58" si="54">LN(J58/J57)</f>
        <v>-5.9747245882415968E-3</v>
      </c>
      <c r="N58" s="97">
        <f t="shared" si="54"/>
        <v>-1.5898586067798273E-2</v>
      </c>
      <c r="T58" s="96" t="s">
        <v>269</v>
      </c>
      <c r="U58" s="96">
        <v>4.3369999999999997</v>
      </c>
    </row>
    <row r="59" spans="9:21" ht="14.25" customHeight="1" x14ac:dyDescent="0.3">
      <c r="I59" s="7" t="s">
        <v>270</v>
      </c>
      <c r="J59" s="93">
        <v>1282.02</v>
      </c>
      <c r="K59" s="93">
        <v>31450</v>
      </c>
      <c r="L59" s="94"/>
      <c r="M59" s="97">
        <f t="shared" ref="M59:N59" si="55">LN(J59/J58)</f>
        <v>1.6471960413286827E-3</v>
      </c>
      <c r="N59" s="97">
        <f t="shared" si="55"/>
        <v>7.9808883310128319E-3</v>
      </c>
      <c r="T59" s="96" t="s">
        <v>271</v>
      </c>
      <c r="U59" s="96">
        <v>4.3289999999999997</v>
      </c>
    </row>
    <row r="60" spans="9:21" ht="14.25" customHeight="1" x14ac:dyDescent="0.3">
      <c r="I60" s="92" t="s">
        <v>272</v>
      </c>
      <c r="J60" s="93">
        <v>1245.32</v>
      </c>
      <c r="K60" s="93">
        <v>28800</v>
      </c>
      <c r="L60" s="94"/>
      <c r="M60" s="97">
        <f t="shared" ref="M60:N60" si="56">LN(J60/J59)</f>
        <v>-2.9044433997760476E-2</v>
      </c>
      <c r="N60" s="97">
        <f t="shared" si="56"/>
        <v>-8.8023596004549232E-2</v>
      </c>
      <c r="T60" s="98">
        <v>46359</v>
      </c>
      <c r="U60" s="96">
        <v>4.3390000000000004</v>
      </c>
    </row>
    <row r="61" spans="9:21" ht="14.25" customHeight="1" x14ac:dyDescent="0.3">
      <c r="I61" s="92" t="s">
        <v>273</v>
      </c>
      <c r="J61" s="93">
        <v>1283.04</v>
      </c>
      <c r="K61" s="93">
        <v>29900</v>
      </c>
      <c r="L61" s="94"/>
      <c r="M61" s="97">
        <f t="shared" ref="M61:N61" si="57">LN(J61/J60)</f>
        <v>2.9839737073527172E-2</v>
      </c>
      <c r="N61" s="97">
        <f t="shared" si="57"/>
        <v>3.7483093254740474E-2</v>
      </c>
      <c r="T61" s="98">
        <v>46329</v>
      </c>
      <c r="U61" s="96">
        <v>4.3259999999999996</v>
      </c>
    </row>
    <row r="62" spans="9:21" ht="14.25" customHeight="1" x14ac:dyDescent="0.3">
      <c r="I62" s="98">
        <v>45480</v>
      </c>
      <c r="J62" s="93">
        <v>1280.75</v>
      </c>
      <c r="K62" s="93">
        <v>29850</v>
      </c>
      <c r="L62" s="94"/>
      <c r="M62" s="97">
        <f t="shared" ref="M62:N62" si="58">LN(J62/J61)</f>
        <v>-1.7864182394069156E-3</v>
      </c>
      <c r="N62" s="97">
        <f t="shared" si="58"/>
        <v>-1.6736405580296484E-3</v>
      </c>
      <c r="T62" s="98">
        <v>46298</v>
      </c>
      <c r="U62" s="96">
        <v>4.33</v>
      </c>
    </row>
    <row r="63" spans="9:21" ht="14.25" customHeight="1" x14ac:dyDescent="0.3">
      <c r="I63" s="7" t="s">
        <v>274</v>
      </c>
      <c r="J63" s="93">
        <v>1264.78</v>
      </c>
      <c r="K63" s="93">
        <v>28050</v>
      </c>
      <c r="L63" s="94"/>
      <c r="M63" s="97">
        <f t="shared" ref="M63:N63" si="59">LN(J63/J62)</f>
        <v>-1.2547649825796325E-2</v>
      </c>
      <c r="N63" s="97">
        <f t="shared" si="59"/>
        <v>-6.219620786990581E-2</v>
      </c>
      <c r="T63" s="98">
        <v>46268</v>
      </c>
      <c r="U63" s="96">
        <v>4.3140000000000001</v>
      </c>
    </row>
    <row r="64" spans="9:21" ht="14.25" customHeight="1" x14ac:dyDescent="0.3">
      <c r="I64" s="92" t="s">
        <v>275</v>
      </c>
      <c r="J64" s="93">
        <v>1242.1099999999999</v>
      </c>
      <c r="K64" s="93">
        <v>27950</v>
      </c>
      <c r="L64" s="94"/>
      <c r="M64" s="97">
        <f t="shared" ref="M64:N64" si="60">LN(J64/J63)</f>
        <v>-1.8086647594203989E-2</v>
      </c>
      <c r="N64" s="97">
        <f t="shared" si="60"/>
        <v>-3.5714323675971335E-3</v>
      </c>
      <c r="T64" s="98">
        <v>46176</v>
      </c>
      <c r="U64" s="96">
        <v>4.306</v>
      </c>
    </row>
    <row r="65" spans="9:21" ht="14.25" customHeight="1" x14ac:dyDescent="0.3">
      <c r="I65" s="92" t="s">
        <v>276</v>
      </c>
      <c r="J65" s="93">
        <v>1236.5999999999999</v>
      </c>
      <c r="K65" s="93">
        <v>27900</v>
      </c>
      <c r="L65" s="94"/>
      <c r="M65" s="97">
        <f t="shared" ref="M65:N65" si="61">LN(J65/J64)</f>
        <v>-4.4458682748430333E-3</v>
      </c>
      <c r="N65" s="97">
        <f t="shared" si="61"/>
        <v>-1.7905107737882331E-3</v>
      </c>
      <c r="T65" s="98">
        <v>46145</v>
      </c>
      <c r="U65" s="96">
        <v>4.2969999999999997</v>
      </c>
    </row>
    <row r="66" spans="9:21" ht="14.25" customHeight="1" x14ac:dyDescent="0.3">
      <c r="I66" s="98">
        <v>45390</v>
      </c>
      <c r="J66" s="93">
        <v>1223.6400000000001</v>
      </c>
      <c r="K66" s="93">
        <v>26600</v>
      </c>
      <c r="L66" s="94"/>
      <c r="M66" s="97">
        <f t="shared" ref="M66:N66" si="62">LN(J66/J65)</f>
        <v>-1.0535654960333532E-2</v>
      </c>
      <c r="N66" s="97">
        <f t="shared" si="62"/>
        <v>-4.7715473039666549E-2</v>
      </c>
      <c r="T66" s="98">
        <v>46115</v>
      </c>
      <c r="U66" s="96">
        <v>4.3079999999999998</v>
      </c>
    </row>
    <row r="67" spans="9:21" ht="14.25" customHeight="1" x14ac:dyDescent="0.3">
      <c r="I67" s="98">
        <v>45604</v>
      </c>
      <c r="J67" s="93">
        <v>1252.23</v>
      </c>
      <c r="K67" s="93">
        <v>27200</v>
      </c>
      <c r="L67" s="94"/>
      <c r="M67" s="97">
        <f t="shared" ref="M67:N67" si="63">LN(J67/J66)</f>
        <v>2.3095938694302733E-2</v>
      </c>
      <c r="N67" s="97">
        <f t="shared" si="63"/>
        <v>2.2305757514298186E-2</v>
      </c>
      <c r="T67" s="98">
        <v>46084</v>
      </c>
      <c r="U67" s="96">
        <v>4.2949999999999999</v>
      </c>
    </row>
    <row r="68" spans="9:21" ht="14.25" customHeight="1" x14ac:dyDescent="0.3">
      <c r="I68" s="7" t="s">
        <v>277</v>
      </c>
      <c r="J68" s="93">
        <v>1285.32</v>
      </c>
      <c r="K68" s="93">
        <v>27900</v>
      </c>
      <c r="L68" s="94"/>
      <c r="M68" s="97">
        <f t="shared" ref="M68:N68" si="64">LN(J68/J67)</f>
        <v>2.6081752706100955E-2</v>
      </c>
      <c r="N68" s="97">
        <f t="shared" si="64"/>
        <v>2.5409715525368221E-2</v>
      </c>
      <c r="T68" s="98">
        <v>46056</v>
      </c>
      <c r="U68" s="96">
        <v>4.29</v>
      </c>
    </row>
    <row r="69" spans="9:21" ht="14.25" customHeight="1" x14ac:dyDescent="0.3">
      <c r="I69" s="92" t="s">
        <v>278</v>
      </c>
      <c r="J69" s="93">
        <v>1283.8699999999999</v>
      </c>
      <c r="K69" s="93">
        <v>27450</v>
      </c>
      <c r="L69" s="94"/>
      <c r="M69" s="97">
        <f t="shared" ref="M69:N69" si="65">LN(J69/J68)</f>
        <v>-1.1287605462841387E-3</v>
      </c>
      <c r="N69" s="97">
        <f t="shared" si="65"/>
        <v>-1.6260520871780291E-2</v>
      </c>
      <c r="T69" s="96" t="s">
        <v>279</v>
      </c>
      <c r="U69" s="96">
        <v>4.2519999999999998</v>
      </c>
    </row>
    <row r="70" spans="9:21" ht="14.25" customHeight="1" x14ac:dyDescent="0.3">
      <c r="I70" s="98">
        <v>45300</v>
      </c>
      <c r="J70" s="93">
        <v>1273.96</v>
      </c>
      <c r="K70" s="93">
        <v>26600</v>
      </c>
      <c r="L70" s="94"/>
      <c r="M70" s="97">
        <f t="shared" ref="M70:N70" si="66">LN(J70/J69)</f>
        <v>-7.7487945533016101E-3</v>
      </c>
      <c r="N70" s="97">
        <f t="shared" si="66"/>
        <v>-3.1454952167886248E-2</v>
      </c>
      <c r="T70" s="96" t="s">
        <v>280</v>
      </c>
      <c r="U70" s="96">
        <v>4.2519999999999998</v>
      </c>
    </row>
    <row r="71" spans="9:21" ht="14.25" customHeight="1" x14ac:dyDescent="0.3">
      <c r="I71" s="98">
        <v>45513</v>
      </c>
      <c r="J71" s="93">
        <v>1251.71</v>
      </c>
      <c r="K71" s="93">
        <v>26000</v>
      </c>
      <c r="L71" s="94"/>
      <c r="M71" s="97">
        <f t="shared" ref="M71:N71" si="67">LN(J71/J70)</f>
        <v>-1.7619543028111168E-2</v>
      </c>
      <c r="N71" s="97">
        <f t="shared" si="67"/>
        <v>-2.2814677766171399E-2</v>
      </c>
      <c r="T71" s="96" t="s">
        <v>281</v>
      </c>
      <c r="U71" s="96">
        <v>4.2510000000000003</v>
      </c>
    </row>
    <row r="72" spans="9:21" ht="14.25" customHeight="1" x14ac:dyDescent="0.3">
      <c r="I72" s="7" t="s">
        <v>282</v>
      </c>
      <c r="J72" s="93">
        <v>1272.04</v>
      </c>
      <c r="K72" s="93">
        <v>27050</v>
      </c>
      <c r="L72" s="94"/>
      <c r="M72" s="97">
        <f t="shared" ref="M72:N72" si="68">LN(J72/J71)</f>
        <v>1.6111294509674228E-2</v>
      </c>
      <c r="N72" s="97">
        <f t="shared" si="68"/>
        <v>3.959046727100856E-2</v>
      </c>
      <c r="T72" s="96" t="s">
        <v>283</v>
      </c>
      <c r="U72" s="96">
        <v>4.2510000000000003</v>
      </c>
    </row>
    <row r="73" spans="9:21" ht="14.25" customHeight="1" x14ac:dyDescent="0.3">
      <c r="I73" s="92" t="s">
        <v>284</v>
      </c>
      <c r="J73" s="93">
        <v>1290.92</v>
      </c>
      <c r="K73" s="93">
        <v>27250</v>
      </c>
      <c r="L73" s="94"/>
      <c r="M73" s="97">
        <f t="shared" ref="M73:N73" si="69">LN(J73/J72)</f>
        <v>1.4733231512984087E-2</v>
      </c>
      <c r="N73" s="97">
        <f t="shared" si="69"/>
        <v>7.3665158167626459E-3</v>
      </c>
      <c r="T73" s="96" t="s">
        <v>285</v>
      </c>
      <c r="U73" s="96">
        <v>4.2460000000000004</v>
      </c>
    </row>
    <row r="74" spans="9:21" ht="14.25" customHeight="1" x14ac:dyDescent="0.3">
      <c r="I74" s="92" t="s">
        <v>286</v>
      </c>
      <c r="J74" s="93">
        <v>1270.5999999999999</v>
      </c>
      <c r="K74" s="93">
        <v>27700</v>
      </c>
      <c r="L74" s="94"/>
      <c r="M74" s="97">
        <f t="shared" ref="M74:N74" si="70">LN(J74/J73)</f>
        <v>-1.5865912627067127E-2</v>
      </c>
      <c r="N74" s="97">
        <f t="shared" si="70"/>
        <v>1.6378892084039681E-2</v>
      </c>
      <c r="T74" s="96" t="s">
        <v>287</v>
      </c>
      <c r="U74" s="96">
        <v>4.2489999999999997</v>
      </c>
    </row>
    <row r="75" spans="9:21" ht="14.25" customHeight="1" x14ac:dyDescent="0.3">
      <c r="I75" s="98">
        <v>45453</v>
      </c>
      <c r="J75" s="93">
        <v>1288.3900000000001</v>
      </c>
      <c r="K75" s="93">
        <v>27550</v>
      </c>
      <c r="L75" s="94"/>
      <c r="M75" s="97">
        <f t="shared" ref="M75:N75" si="71">LN(J75/J74)</f>
        <v>1.3904147029758538E-2</v>
      </c>
      <c r="N75" s="97">
        <f t="shared" si="71"/>
        <v>-5.4298775943692878E-3</v>
      </c>
      <c r="T75" s="96" t="s">
        <v>288</v>
      </c>
      <c r="U75" s="96">
        <v>4.2489999999999997</v>
      </c>
    </row>
    <row r="76" spans="9:21" ht="14.25" customHeight="1" x14ac:dyDescent="0.3">
      <c r="I76" s="7" t="s">
        <v>289</v>
      </c>
      <c r="J76" s="93">
        <v>1285.46</v>
      </c>
      <c r="K76" s="93">
        <v>26250</v>
      </c>
      <c r="L76" s="94"/>
      <c r="M76" s="97">
        <f t="shared" ref="M76:N76" si="72">LN(J76/J75)</f>
        <v>-2.2767459375297046E-3</v>
      </c>
      <c r="N76" s="97">
        <f t="shared" si="72"/>
        <v>-4.8336546561290765E-2</v>
      </c>
      <c r="T76" s="96" t="s">
        <v>290</v>
      </c>
      <c r="U76" s="96">
        <v>4.2489999999999997</v>
      </c>
    </row>
    <row r="77" spans="9:21" ht="14.25" customHeight="1" x14ac:dyDescent="0.3">
      <c r="I77" s="92" t="s">
        <v>291</v>
      </c>
      <c r="J77" s="93">
        <v>1252.72</v>
      </c>
      <c r="K77" s="93">
        <v>25650</v>
      </c>
      <c r="L77" s="94"/>
      <c r="M77" s="97">
        <f t="shared" ref="M77:N77" si="73">LN(J77/J76)</f>
        <v>-2.5799443687474048E-2</v>
      </c>
      <c r="N77" s="97">
        <f t="shared" si="73"/>
        <v>-2.3122417420854264E-2</v>
      </c>
      <c r="T77" s="96" t="s">
        <v>292</v>
      </c>
      <c r="U77" s="96">
        <v>4.2489999999999997</v>
      </c>
    </row>
    <row r="78" spans="9:21" ht="14.25" customHeight="1" x14ac:dyDescent="0.3">
      <c r="I78" s="92" t="s">
        <v>293</v>
      </c>
      <c r="J78" s="93">
        <v>1254.8900000000001</v>
      </c>
      <c r="K78" s="93">
        <v>25750</v>
      </c>
      <c r="L78" s="94"/>
      <c r="M78" s="97">
        <f t="shared" ref="M78:N78" si="74">LN(J78/J77)</f>
        <v>1.7307320848731365E-3</v>
      </c>
      <c r="N78" s="97">
        <f t="shared" si="74"/>
        <v>3.8910554929667217E-3</v>
      </c>
      <c r="T78" s="96" t="s">
        <v>294</v>
      </c>
      <c r="U78" s="96">
        <v>4.2489999999999997</v>
      </c>
    </row>
    <row r="79" spans="9:21" ht="14.25" customHeight="1" x14ac:dyDescent="0.3">
      <c r="I79" s="98">
        <v>45362</v>
      </c>
      <c r="J79" s="93">
        <v>1252.56</v>
      </c>
      <c r="K79" s="93">
        <v>25500</v>
      </c>
      <c r="L79" s="94"/>
      <c r="M79" s="97">
        <f t="shared" ref="M79:N79" si="75">LN(J79/J78)</f>
        <v>-1.858462318793075E-3</v>
      </c>
      <c r="N79" s="97">
        <f t="shared" si="75"/>
        <v>-9.7561749453646852E-3</v>
      </c>
      <c r="T79" s="96" t="s">
        <v>295</v>
      </c>
      <c r="U79" s="96">
        <v>4.2489999999999997</v>
      </c>
    </row>
    <row r="80" spans="9:21" ht="14.25" customHeight="1" x14ac:dyDescent="0.3">
      <c r="I80" s="98">
        <v>45576</v>
      </c>
      <c r="J80" s="93">
        <v>1218.57</v>
      </c>
      <c r="K80" s="93">
        <v>23200</v>
      </c>
      <c r="L80" s="94"/>
      <c r="M80" s="97">
        <f t="shared" ref="M80:N80" si="76">LN(J80/J79)</f>
        <v>-2.7511416906485748E-2</v>
      </c>
      <c r="N80" s="97">
        <f t="shared" si="76"/>
        <v>-9.45261734921162E-2</v>
      </c>
      <c r="T80" s="98">
        <v>46358</v>
      </c>
      <c r="U80" s="96">
        <v>4.2460000000000004</v>
      </c>
    </row>
    <row r="81" spans="9:21" ht="14.25" customHeight="1" x14ac:dyDescent="0.3">
      <c r="I81" s="7" t="s">
        <v>296</v>
      </c>
      <c r="J81" s="93">
        <v>1228.0999999999999</v>
      </c>
      <c r="K81" s="93">
        <v>23550</v>
      </c>
      <c r="L81" s="94"/>
      <c r="M81" s="97">
        <f t="shared" ref="M81:N81" si="77">LN(J81/J80)</f>
        <v>7.7902195195566244E-3</v>
      </c>
      <c r="N81" s="97">
        <f t="shared" si="77"/>
        <v>1.4973541790162583E-2</v>
      </c>
      <c r="T81" s="98">
        <v>46328</v>
      </c>
      <c r="U81" s="96">
        <v>4.2460000000000004</v>
      </c>
    </row>
    <row r="82" spans="9:21" ht="14.25" customHeight="1" x14ac:dyDescent="0.3">
      <c r="I82" s="92" t="s">
        <v>297</v>
      </c>
      <c r="J82" s="93">
        <v>1250.46</v>
      </c>
      <c r="K82" s="93">
        <v>23700</v>
      </c>
      <c r="L82" s="94"/>
      <c r="M82" s="97">
        <f t="shared" ref="M82:N82" si="78">LN(J82/J81)</f>
        <v>1.8043223984615886E-2</v>
      </c>
      <c r="N82" s="97">
        <f t="shared" si="78"/>
        <v>6.3492276786587445E-3</v>
      </c>
      <c r="T82" s="98">
        <v>46297</v>
      </c>
      <c r="U82" s="96">
        <v>4.2460000000000004</v>
      </c>
    </row>
    <row r="83" spans="9:21" ht="14.25" customHeight="1" x14ac:dyDescent="0.3">
      <c r="I83" s="98">
        <v>45303</v>
      </c>
      <c r="J83" s="93">
        <v>1270.1400000000001</v>
      </c>
      <c r="K83" s="93">
        <v>24000</v>
      </c>
      <c r="L83" s="94"/>
      <c r="M83" s="97">
        <f t="shared" ref="M83:N83" si="79">LN(J83/J82)</f>
        <v>1.5615646996589528E-2</v>
      </c>
      <c r="N83" s="97">
        <f t="shared" si="79"/>
        <v>1.2578782206860185E-2</v>
      </c>
      <c r="T83" s="98">
        <v>46267</v>
      </c>
      <c r="U83" s="96">
        <v>4.2430000000000003</v>
      </c>
    </row>
    <row r="84" spans="9:21" ht="14.25" customHeight="1" x14ac:dyDescent="0.3">
      <c r="I84" s="98">
        <v>45516</v>
      </c>
      <c r="J84" s="93">
        <v>1262.57</v>
      </c>
      <c r="K84" s="93">
        <v>23600</v>
      </c>
      <c r="L84" s="94"/>
      <c r="M84" s="97">
        <f t="shared" ref="M84:N84" si="80">LN(J84/J83)</f>
        <v>-5.9778044405218757E-3</v>
      </c>
      <c r="N84" s="97">
        <f t="shared" si="80"/>
        <v>-1.6807118316381289E-2</v>
      </c>
      <c r="T84" s="98">
        <v>46175</v>
      </c>
      <c r="U84" s="96">
        <v>4.2220000000000004</v>
      </c>
    </row>
    <row r="85" spans="9:21" ht="14.25" customHeight="1" x14ac:dyDescent="0.3">
      <c r="I85" s="7" t="s">
        <v>298</v>
      </c>
      <c r="J85" s="93">
        <v>1257.5</v>
      </c>
      <c r="K85" s="93">
        <v>23900</v>
      </c>
      <c r="L85" s="94"/>
      <c r="M85" s="97">
        <f t="shared" ref="M85:N85" si="81">LN(J85/J84)</f>
        <v>-4.0237031831276884E-3</v>
      </c>
      <c r="N85" s="97">
        <f t="shared" si="81"/>
        <v>1.2631746905900564E-2</v>
      </c>
      <c r="T85" s="98">
        <v>46144</v>
      </c>
      <c r="U85" s="96">
        <v>4.2190000000000003</v>
      </c>
    </row>
    <row r="86" spans="9:21" ht="14.25" customHeight="1" x14ac:dyDescent="0.3">
      <c r="I86" s="92" t="s">
        <v>299</v>
      </c>
      <c r="J86" s="93">
        <v>1275.1400000000001</v>
      </c>
      <c r="K86" s="93">
        <v>24100</v>
      </c>
      <c r="L86" s="94"/>
      <c r="M86" s="97">
        <f t="shared" ref="M86:N86" si="82">LN(J86/J85)</f>
        <v>1.3930353512191537E-2</v>
      </c>
      <c r="N86" s="97">
        <f t="shared" si="82"/>
        <v>8.3333815591442404E-3</v>
      </c>
      <c r="T86" s="98">
        <v>46114</v>
      </c>
      <c r="U86" s="96">
        <v>4.2229999999999999</v>
      </c>
    </row>
    <row r="87" spans="9:21" ht="14.25" customHeight="1" x14ac:dyDescent="0.3">
      <c r="I87" s="92" t="s">
        <v>300</v>
      </c>
      <c r="J87" s="93">
        <v>1254.5899999999999</v>
      </c>
      <c r="K87" s="93">
        <v>23500</v>
      </c>
      <c r="L87" s="94"/>
      <c r="M87" s="97">
        <f t="shared" ref="M87:N87" si="83">LN(J87/J86)</f>
        <v>-1.6247150523151004E-2</v>
      </c>
      <c r="N87" s="97">
        <f t="shared" si="83"/>
        <v>-2.5211419346496056E-2</v>
      </c>
      <c r="T87" s="98">
        <v>46083</v>
      </c>
      <c r="U87" s="96">
        <v>4.2030000000000003</v>
      </c>
    </row>
    <row r="88" spans="9:21" ht="14.25" customHeight="1" x14ac:dyDescent="0.3">
      <c r="I88" s="98">
        <v>45778</v>
      </c>
      <c r="J88" s="93">
        <v>1230.48</v>
      </c>
      <c r="K88" s="93">
        <v>22150</v>
      </c>
      <c r="L88" s="94"/>
      <c r="M88" s="97">
        <f t="shared" ref="M88:N88" si="84">LN(J88/J87)</f>
        <v>-1.9404488819380099E-2</v>
      </c>
      <c r="N88" s="97">
        <f t="shared" si="84"/>
        <v>-5.9162924658968663E-2</v>
      </c>
      <c r="T88" s="98">
        <v>46055</v>
      </c>
      <c r="U88" s="96">
        <v>4.2030000000000003</v>
      </c>
    </row>
    <row r="89" spans="9:21" ht="14.25" customHeight="1" x14ac:dyDescent="0.3">
      <c r="I89" s="98">
        <v>45992</v>
      </c>
      <c r="J89" s="93">
        <v>1249.1099999999999</v>
      </c>
      <c r="K89" s="93">
        <v>23300</v>
      </c>
      <c r="L89" s="94"/>
      <c r="M89" s="97">
        <f t="shared" ref="M89:N89" si="85">LN(J89/J88)</f>
        <v>1.5026960560412842E-2</v>
      </c>
      <c r="N89" s="97">
        <f t="shared" si="85"/>
        <v>5.0615864080510137E-2</v>
      </c>
      <c r="T89" s="96" t="s">
        <v>301</v>
      </c>
      <c r="U89" s="96">
        <v>4.1779999999999999</v>
      </c>
    </row>
    <row r="90" spans="9:21" ht="14.25" customHeight="1" x14ac:dyDescent="0.3">
      <c r="I90" s="92" t="s">
        <v>302</v>
      </c>
      <c r="J90" s="93">
        <v>1265.05</v>
      </c>
      <c r="K90" s="93">
        <v>23600</v>
      </c>
      <c r="L90" s="94"/>
      <c r="M90" s="97">
        <f t="shared" ref="M90:N90" si="86">LN(J90/J89)</f>
        <v>1.2680349368232847E-2</v>
      </c>
      <c r="N90" s="97">
        <f t="shared" si="86"/>
        <v>1.2793351459909542E-2</v>
      </c>
      <c r="T90" s="96" t="s">
        <v>303</v>
      </c>
      <c r="U90" s="96">
        <v>4.1879999999999997</v>
      </c>
    </row>
    <row r="91" spans="9:21" ht="14.25" customHeight="1" x14ac:dyDescent="0.3">
      <c r="I91" s="98">
        <v>45690</v>
      </c>
      <c r="J91" s="93">
        <v>1275.2</v>
      </c>
      <c r="K91" s="93">
        <v>23650</v>
      </c>
      <c r="L91" s="94"/>
      <c r="M91" s="97">
        <f t="shared" ref="M91:N91" si="87">LN(J91/J90)</f>
        <v>7.9913819637500941E-3</v>
      </c>
      <c r="N91" s="97">
        <f t="shared" si="87"/>
        <v>2.1164029063776937E-3</v>
      </c>
      <c r="T91" s="96" t="s">
        <v>304</v>
      </c>
      <c r="U91" s="96">
        <v>4.1760000000000002</v>
      </c>
    </row>
    <row r="92" spans="9:21" ht="14.25" customHeight="1" x14ac:dyDescent="0.3">
      <c r="I92" s="98">
        <v>45902</v>
      </c>
      <c r="J92" s="93">
        <v>1276.08</v>
      </c>
      <c r="K92" s="93">
        <v>24250</v>
      </c>
      <c r="L92" s="94"/>
      <c r="M92" s="97">
        <f t="shared" ref="M92:N92" si="88">LN(J92/J91)</f>
        <v>6.8984982824212655E-4</v>
      </c>
      <c r="N92" s="97">
        <f t="shared" si="88"/>
        <v>2.5053502445550293E-2</v>
      </c>
      <c r="T92" s="96" t="s">
        <v>305</v>
      </c>
      <c r="U92" s="96">
        <v>4.1840000000000002</v>
      </c>
    </row>
    <row r="93" spans="9:21" ht="14.25" customHeight="1" x14ac:dyDescent="0.3">
      <c r="I93" s="7" t="s">
        <v>306</v>
      </c>
      <c r="J93" s="93">
        <v>1296.75</v>
      </c>
      <c r="K93" s="93">
        <v>24100</v>
      </c>
      <c r="L93" s="94"/>
      <c r="M93" s="97">
        <f t="shared" ref="M93:N93" si="89">LN(J93/J92)</f>
        <v>1.6068255367316864E-2</v>
      </c>
      <c r="N93" s="97">
        <f t="shared" si="89"/>
        <v>-6.2047768868828696E-3</v>
      </c>
      <c r="T93" s="96" t="s">
        <v>307</v>
      </c>
      <c r="U93" s="96">
        <v>4.181</v>
      </c>
    </row>
    <row r="94" spans="9:21" ht="14.25" customHeight="1" x14ac:dyDescent="0.3">
      <c r="I94" s="7" t="s">
        <v>308</v>
      </c>
      <c r="J94" s="93">
        <v>1305.3599999999999</v>
      </c>
      <c r="K94" s="93">
        <v>24750</v>
      </c>
      <c r="L94" s="94"/>
      <c r="M94" s="97">
        <f t="shared" ref="M94:N94" si="90">LN(J94/J93)</f>
        <v>6.6177305513053491E-3</v>
      </c>
      <c r="N94" s="97">
        <f t="shared" si="90"/>
        <v>2.6613648518089904E-2</v>
      </c>
      <c r="T94" s="96" t="s">
        <v>309</v>
      </c>
      <c r="U94" s="96">
        <v>4.1769999999999996</v>
      </c>
    </row>
    <row r="95" spans="9:21" ht="14.25" customHeight="1" x14ac:dyDescent="0.3">
      <c r="I95" s="98">
        <v>45691</v>
      </c>
      <c r="J95" s="93">
        <v>1326.05</v>
      </c>
      <c r="K95" s="93">
        <v>23700</v>
      </c>
      <c r="L95" s="94"/>
      <c r="M95" s="97">
        <f t="shared" ref="M95:N95" si="91">LN(J95/J94)</f>
        <v>1.5725733642735565E-2</v>
      </c>
      <c r="N95" s="97">
        <f t="shared" si="91"/>
        <v>-4.3350440873613859E-2</v>
      </c>
      <c r="T95" s="96" t="s">
        <v>310</v>
      </c>
      <c r="U95" s="96">
        <v>4.1849999999999996</v>
      </c>
    </row>
    <row r="96" spans="9:21" ht="14.25" customHeight="1" x14ac:dyDescent="0.3">
      <c r="I96" s="98">
        <v>45903</v>
      </c>
      <c r="J96" s="93">
        <v>1326.15</v>
      </c>
      <c r="K96" s="93">
        <v>23050</v>
      </c>
      <c r="L96" s="94"/>
      <c r="M96" s="97">
        <f t="shared" ref="M96:N96" si="92">LN(J96/J95)</f>
        <v>7.5409094372540635E-5</v>
      </c>
      <c r="N96" s="97">
        <f t="shared" si="92"/>
        <v>-2.7809278698427975E-2</v>
      </c>
      <c r="T96" s="96" t="s">
        <v>311</v>
      </c>
      <c r="U96" s="96">
        <v>4.1609999999999996</v>
      </c>
    </row>
    <row r="97" spans="9:21" ht="14.25" customHeight="1" x14ac:dyDescent="0.3">
      <c r="I97" s="7" t="s">
        <v>312</v>
      </c>
      <c r="J97" s="93">
        <v>1321.88</v>
      </c>
      <c r="K97" s="93">
        <v>23250</v>
      </c>
      <c r="L97" s="94"/>
      <c r="M97" s="97">
        <f t="shared" ref="M97:N97" si="93">LN(J97/J96)</f>
        <v>-3.225041786523782E-3</v>
      </c>
      <c r="N97" s="97">
        <f t="shared" si="93"/>
        <v>8.6393625907078605E-3</v>
      </c>
      <c r="T97" s="96" t="s">
        <v>313</v>
      </c>
      <c r="U97" s="96">
        <v>4.1749999999999998</v>
      </c>
    </row>
    <row r="98" spans="9:21" ht="14.25" customHeight="1" x14ac:dyDescent="0.3">
      <c r="I98" s="7" t="s">
        <v>314</v>
      </c>
      <c r="J98" s="93">
        <v>1317.46</v>
      </c>
      <c r="K98" s="93">
        <v>22500</v>
      </c>
      <c r="L98" s="94"/>
      <c r="M98" s="97">
        <f t="shared" ref="M98:N98" si="94">LN(J98/J97)</f>
        <v>-3.3493253100815223E-3</v>
      </c>
      <c r="N98" s="97">
        <f t="shared" si="94"/>
        <v>-3.2789822822990838E-2</v>
      </c>
      <c r="T98" s="96" t="s">
        <v>315</v>
      </c>
      <c r="U98" s="96">
        <v>4.2610000000000001</v>
      </c>
    </row>
    <row r="99" spans="9:21" ht="14.25" customHeight="1" x14ac:dyDescent="0.3">
      <c r="I99" s="92" t="s">
        <v>316</v>
      </c>
      <c r="J99" s="93">
        <v>1210.67</v>
      </c>
      <c r="K99" s="93">
        <v>19200</v>
      </c>
      <c r="L99" s="94"/>
      <c r="M99" s="97">
        <f t="shared" ref="M99:N99" si="95">LN(J99/J98)</f>
        <v>-8.4531715070069152E-2</v>
      </c>
      <c r="N99" s="97">
        <f t="shared" si="95"/>
        <v>-0.15860503017663852</v>
      </c>
      <c r="T99" s="96" t="s">
        <v>317</v>
      </c>
      <c r="U99" s="96">
        <v>4.266</v>
      </c>
    </row>
    <row r="100" spans="9:21" ht="14.25" customHeight="1" x14ac:dyDescent="0.3">
      <c r="I100" s="98">
        <v>45812</v>
      </c>
      <c r="J100" s="93">
        <v>1222.46</v>
      </c>
      <c r="K100" s="93">
        <v>18000</v>
      </c>
      <c r="L100" s="94"/>
      <c r="M100" s="97">
        <f t="shared" ref="M100:N100" si="96">LN(J100/J99)</f>
        <v>9.6912966240720877E-3</v>
      </c>
      <c r="N100" s="97">
        <f t="shared" si="96"/>
        <v>-6.4538521137571178E-2</v>
      </c>
      <c r="T100" s="96" t="s">
        <v>318</v>
      </c>
      <c r="U100" s="96">
        <v>4.2569999999999997</v>
      </c>
    </row>
    <row r="101" spans="9:21" ht="14.25" customHeight="1" x14ac:dyDescent="0.3">
      <c r="I101" s="7" t="s">
        <v>319</v>
      </c>
      <c r="J101" s="93">
        <v>1219.1199999999999</v>
      </c>
      <c r="K101" s="93">
        <v>17950</v>
      </c>
      <c r="L101" s="94"/>
      <c r="M101" s="97">
        <f t="shared" ref="M101:N101" si="97">LN(J101/J100)</f>
        <v>-2.7359349957155107E-3</v>
      </c>
      <c r="N101" s="97">
        <f t="shared" si="97"/>
        <v>-2.7816429618768026E-3</v>
      </c>
      <c r="T101" s="96" t="s">
        <v>320</v>
      </c>
      <c r="U101" s="96">
        <v>4.26</v>
      </c>
    </row>
    <row r="102" spans="9:21" ht="14.25" customHeight="1" x14ac:dyDescent="0.3">
      <c r="I102" s="7" t="s">
        <v>321</v>
      </c>
      <c r="J102" s="93">
        <v>1229.23</v>
      </c>
      <c r="K102" s="93">
        <v>17750</v>
      </c>
      <c r="L102" s="94"/>
      <c r="M102" s="97">
        <f t="shared" ref="M102:N102" si="98">LN(J102/J101)</f>
        <v>8.2586700947000456E-3</v>
      </c>
      <c r="N102" s="97">
        <f t="shared" si="98"/>
        <v>-1.1204599012863132E-2</v>
      </c>
      <c r="T102" s="96" t="s">
        <v>322</v>
      </c>
      <c r="U102" s="96">
        <v>4.258</v>
      </c>
    </row>
    <row r="103" spans="9:21" ht="14.25" customHeight="1" x14ac:dyDescent="0.3">
      <c r="I103" s="92" t="s">
        <v>323</v>
      </c>
      <c r="J103" s="93">
        <v>1226.3</v>
      </c>
      <c r="K103" s="93">
        <v>17500</v>
      </c>
      <c r="L103" s="94"/>
      <c r="M103" s="97">
        <f t="shared" ref="M103:N103" si="99">LN(J103/J102)</f>
        <v>-2.3864513083250759E-3</v>
      </c>
      <c r="N103" s="97">
        <f t="shared" si="99"/>
        <v>-1.4184634991956413E-2</v>
      </c>
      <c r="T103" s="98">
        <v>46357</v>
      </c>
      <c r="U103" s="96">
        <v>4.2679999999999998</v>
      </c>
    </row>
    <row r="104" spans="9:21" ht="14.25" customHeight="1" x14ac:dyDescent="0.3">
      <c r="I104" s="98">
        <v>45752</v>
      </c>
      <c r="J104" s="93">
        <v>1267.3</v>
      </c>
      <c r="K104" s="93">
        <v>18300</v>
      </c>
      <c r="L104" s="94"/>
      <c r="M104" s="97">
        <f t="shared" ref="M104:N104" si="100">LN(J104/J103)</f>
        <v>3.2887147320038147E-2</v>
      </c>
      <c r="N104" s="97">
        <f t="shared" si="100"/>
        <v>4.4700178917906987E-2</v>
      </c>
      <c r="T104" s="98">
        <v>46266</v>
      </c>
      <c r="U104" s="96">
        <v>4.2770000000000001</v>
      </c>
    </row>
    <row r="105" spans="9:21" ht="14.25" customHeight="1" x14ac:dyDescent="0.3">
      <c r="I105" s="98">
        <v>45966</v>
      </c>
      <c r="J105" s="93">
        <v>1301.3900000000001</v>
      </c>
      <c r="K105" s="93">
        <v>18700</v>
      </c>
      <c r="L105" s="94"/>
      <c r="M105" s="97">
        <f t="shared" ref="M105:N105" si="101">LN(J105/J104)</f>
        <v>2.6544270910762596E-2</v>
      </c>
      <c r="N105" s="97">
        <f t="shared" si="101"/>
        <v>2.1622464013165709E-2</v>
      </c>
      <c r="T105" s="98">
        <v>46235</v>
      </c>
      <c r="U105" s="96">
        <v>4.3</v>
      </c>
    </row>
    <row r="106" spans="9:21" ht="14.25" customHeight="1" x14ac:dyDescent="0.3">
      <c r="I106" s="7" t="s">
        <v>324</v>
      </c>
      <c r="J106" s="93">
        <v>1314.46</v>
      </c>
      <c r="K106" s="93">
        <v>18000</v>
      </c>
      <c r="L106" s="94"/>
      <c r="M106" s="97">
        <f t="shared" ref="M106:N106" si="102">LN(J106/J105)</f>
        <v>9.9930108869336169E-3</v>
      </c>
      <c r="N106" s="97">
        <f t="shared" si="102"/>
        <v>-3.8151765964376291E-2</v>
      </c>
      <c r="T106" s="98">
        <v>46204</v>
      </c>
      <c r="U106" s="96">
        <v>4.2229999999999999</v>
      </c>
    </row>
    <row r="107" spans="9:21" ht="14.25" customHeight="1" x14ac:dyDescent="0.3">
      <c r="I107" s="7" t="s">
        <v>325</v>
      </c>
      <c r="J107" s="93">
        <v>1332.6</v>
      </c>
      <c r="K107" s="93">
        <v>18350</v>
      </c>
      <c r="L107" s="94"/>
      <c r="M107" s="97">
        <f t="shared" ref="M107:N107" si="103">LN(J107/J106)</f>
        <v>1.3705986242722061E-2</v>
      </c>
      <c r="N107" s="97">
        <f t="shared" si="103"/>
        <v>1.9257816604414519E-2</v>
      </c>
      <c r="T107" s="98">
        <v>46174</v>
      </c>
      <c r="U107" s="96">
        <v>4.1859999999999999</v>
      </c>
    </row>
    <row r="108" spans="9:21" ht="14.25" customHeight="1" x14ac:dyDescent="0.3">
      <c r="I108" s="98">
        <v>45663</v>
      </c>
      <c r="J108" s="93">
        <v>1329.89</v>
      </c>
      <c r="K108" s="93">
        <v>19500</v>
      </c>
      <c r="L108" s="94"/>
      <c r="M108" s="97">
        <f t="shared" ref="M108:N108" si="104">LN(J108/J107)</f>
        <v>-2.035689099947727E-3</v>
      </c>
      <c r="N108" s="97">
        <f t="shared" si="104"/>
        <v>6.0784891069121771E-2</v>
      </c>
      <c r="T108" s="98">
        <v>46143</v>
      </c>
      <c r="U108" s="96">
        <v>4.1820000000000004</v>
      </c>
    </row>
    <row r="109" spans="9:21" ht="14.25" customHeight="1" x14ac:dyDescent="0.3">
      <c r="I109" s="98">
        <v>45875</v>
      </c>
      <c r="J109" s="93">
        <v>1315.49</v>
      </c>
      <c r="K109" s="93">
        <v>20450</v>
      </c>
      <c r="L109" s="94"/>
      <c r="M109" s="97">
        <f t="shared" ref="M109:N109" si="105">LN(J109/J108)</f>
        <v>-1.0887012249402316E-2</v>
      </c>
      <c r="N109" s="97">
        <f t="shared" si="105"/>
        <v>4.756841691910968E-2</v>
      </c>
      <c r="T109" s="98">
        <v>46054</v>
      </c>
      <c r="U109" s="96">
        <v>4.1859999999999999</v>
      </c>
    </row>
    <row r="110" spans="9:21" ht="14.25" customHeight="1" x14ac:dyDescent="0.3">
      <c r="I110" s="7" t="s">
        <v>326</v>
      </c>
      <c r="J110" s="93">
        <v>1349.35</v>
      </c>
      <c r="K110" s="93">
        <v>21050</v>
      </c>
      <c r="L110" s="94"/>
      <c r="M110" s="97">
        <f t="shared" ref="M110:N110" si="106">LN(J110/J109)</f>
        <v>2.5413775222478553E-2</v>
      </c>
      <c r="N110" s="97">
        <f t="shared" si="106"/>
        <v>2.8917677639579586E-2</v>
      </c>
      <c r="T110" s="98">
        <v>46023</v>
      </c>
      <c r="U110" s="96">
        <v>4.1859999999999999</v>
      </c>
    </row>
    <row r="111" spans="9:21" ht="14.25" customHeight="1" x14ac:dyDescent="0.3">
      <c r="I111" s="92" t="s">
        <v>327</v>
      </c>
      <c r="J111" s="93">
        <v>1371.44</v>
      </c>
      <c r="K111" s="93">
        <v>19800</v>
      </c>
      <c r="L111" s="94"/>
      <c r="M111" s="97">
        <f t="shared" ref="M111:N111" si="107">LN(J111/J110)</f>
        <v>1.6238287697660298E-2</v>
      </c>
      <c r="N111" s="97">
        <f t="shared" si="107"/>
        <v>-6.1218622427900847E-2</v>
      </c>
      <c r="T111" s="96" t="s">
        <v>328</v>
      </c>
      <c r="U111" s="96">
        <v>4.1859999999999999</v>
      </c>
    </row>
    <row r="112" spans="9:21" ht="14.25" customHeight="1" x14ac:dyDescent="0.3">
      <c r="I112" s="92" t="s">
        <v>329</v>
      </c>
      <c r="J112" s="93">
        <v>1386.97</v>
      </c>
      <c r="K112" s="93">
        <v>20150</v>
      </c>
      <c r="L112" s="94"/>
      <c r="M112" s="97">
        <f t="shared" ref="M112:N112" si="108">LN(J112/J111)</f>
        <v>1.126022896568092E-2</v>
      </c>
      <c r="N112" s="97">
        <f t="shared" si="108"/>
        <v>1.7522350692202492E-2</v>
      </c>
      <c r="T112" s="96" t="s">
        <v>330</v>
      </c>
      <c r="U112" s="96">
        <v>4.1829999999999998</v>
      </c>
    </row>
    <row r="113" spans="9:21" ht="14.25" customHeight="1" x14ac:dyDescent="0.3">
      <c r="I113" s="98">
        <v>45815</v>
      </c>
      <c r="J113" s="93">
        <v>1457.76</v>
      </c>
      <c r="K113" s="93">
        <v>20400</v>
      </c>
      <c r="L113" s="94"/>
      <c r="M113" s="97">
        <f t="shared" ref="M113:N113" si="109">LN(J113/J112)</f>
        <v>4.9779499300641745E-2</v>
      </c>
      <c r="N113" s="97">
        <f t="shared" si="109"/>
        <v>1.2330612457478725E-2</v>
      </c>
      <c r="T113" s="96" t="s">
        <v>331</v>
      </c>
      <c r="U113" s="96">
        <v>4.1820000000000004</v>
      </c>
    </row>
    <row r="114" spans="9:21" ht="14.25" customHeight="1" x14ac:dyDescent="0.3">
      <c r="I114" s="7" t="s">
        <v>332</v>
      </c>
      <c r="J114" s="93">
        <v>1497.28</v>
      </c>
      <c r="K114" s="93">
        <v>20850</v>
      </c>
      <c r="L114" s="94"/>
      <c r="M114" s="97">
        <f t="shared" ref="M114:N114" si="110">LN(J114/J113)</f>
        <v>2.6749117712303094E-2</v>
      </c>
      <c r="N114" s="97">
        <f t="shared" si="110"/>
        <v>2.1819047394639673E-2</v>
      </c>
      <c r="T114" s="96" t="s">
        <v>333</v>
      </c>
      <c r="U114" s="96">
        <v>4.1790000000000003</v>
      </c>
    </row>
    <row r="115" spans="9:21" ht="14.25" customHeight="1" x14ac:dyDescent="0.3">
      <c r="I115" s="92" t="s">
        <v>334</v>
      </c>
      <c r="J115" s="93">
        <v>1531.13</v>
      </c>
      <c r="K115" s="93">
        <v>21100</v>
      </c>
      <c r="L115" s="94"/>
      <c r="M115" s="97">
        <f t="shared" ref="M115:N115" si="111">LN(J115/J114)</f>
        <v>2.2355896197366009E-2</v>
      </c>
      <c r="N115" s="97">
        <f t="shared" si="111"/>
        <v>1.1919092237210284E-2</v>
      </c>
      <c r="T115" s="96" t="s">
        <v>335</v>
      </c>
      <c r="U115" s="96">
        <v>4.1790000000000003</v>
      </c>
    </row>
    <row r="116" spans="9:21" ht="14.25" customHeight="1" x14ac:dyDescent="0.3">
      <c r="I116" s="92" t="s">
        <v>336</v>
      </c>
      <c r="J116" s="93">
        <v>1495.21</v>
      </c>
      <c r="K116" s="93">
        <v>21300</v>
      </c>
      <c r="L116" s="94"/>
      <c r="M116" s="97">
        <f t="shared" ref="M116:N116" si="112">LN(J116/J115)</f>
        <v>-2.3739359687743568E-2</v>
      </c>
      <c r="N116" s="97">
        <f t="shared" si="112"/>
        <v>9.4340322333587145E-3</v>
      </c>
      <c r="T116" s="96" t="s">
        <v>337</v>
      </c>
      <c r="U116" s="96">
        <v>4.1589999999999998</v>
      </c>
    </row>
    <row r="117" spans="9:21" ht="14.25" customHeight="1" x14ac:dyDescent="0.3">
      <c r="I117" s="98">
        <v>45724</v>
      </c>
      <c r="J117" s="93">
        <v>1584.95</v>
      </c>
      <c r="K117" s="93">
        <v>23000</v>
      </c>
      <c r="L117" s="94"/>
      <c r="M117" s="97">
        <f t="shared" ref="M117:N117" si="113">LN(J117/J116)</f>
        <v>5.8286195885004763E-2</v>
      </c>
      <c r="N117" s="97">
        <f t="shared" si="113"/>
        <v>7.6787143213770295E-2</v>
      </c>
      <c r="T117" s="96" t="s">
        <v>338</v>
      </c>
      <c r="U117" s="96">
        <v>4.1589999999999998</v>
      </c>
    </row>
    <row r="118" spans="9:21" ht="14.25" customHeight="1" x14ac:dyDescent="0.3">
      <c r="I118" s="98">
        <v>45938</v>
      </c>
      <c r="J118" s="93">
        <v>1630</v>
      </c>
      <c r="K118" s="93">
        <v>22750</v>
      </c>
      <c r="L118" s="94"/>
      <c r="M118" s="97">
        <f t="shared" ref="M118:N118" si="114">LN(J118/J117)</f>
        <v>2.8027153728329274E-2</v>
      </c>
      <c r="N118" s="97">
        <f t="shared" si="114"/>
        <v>-1.0929070532190317E-2</v>
      </c>
      <c r="T118" s="96" t="s">
        <v>339</v>
      </c>
      <c r="U118" s="96">
        <v>4.157</v>
      </c>
    </row>
    <row r="119" spans="9:21" ht="14.25" customHeight="1" x14ac:dyDescent="0.3">
      <c r="I119" s="7" t="s">
        <v>340</v>
      </c>
      <c r="J119" s="93">
        <v>1645.47</v>
      </c>
      <c r="K119" s="93">
        <v>21250</v>
      </c>
      <c r="L119" s="94"/>
      <c r="M119" s="97">
        <f t="shared" ref="M119:N119" si="115">LN(J119/J118)</f>
        <v>9.4460428758249473E-3</v>
      </c>
      <c r="N119" s="97">
        <f t="shared" si="115"/>
        <v>-6.8208250026533579E-2</v>
      </c>
      <c r="T119" s="96" t="s">
        <v>341</v>
      </c>
      <c r="U119" s="96">
        <v>4.1529999999999996</v>
      </c>
    </row>
    <row r="120" spans="9:21" ht="14.25" customHeight="1" x14ac:dyDescent="0.3">
      <c r="I120" s="92" t="s">
        <v>342</v>
      </c>
      <c r="J120" s="93">
        <v>1682.21</v>
      </c>
      <c r="K120" s="93">
        <v>21300</v>
      </c>
      <c r="L120" s="94"/>
      <c r="M120" s="97">
        <f t="shared" ref="M120:N120" si="116">LN(J120/J119)</f>
        <v>2.2082347430396856E-2</v>
      </c>
      <c r="N120" s="97">
        <f t="shared" si="116"/>
        <v>2.350177344953673E-3</v>
      </c>
      <c r="T120" s="96" t="s">
        <v>343</v>
      </c>
      <c r="U120" s="96">
        <v>4.1440000000000001</v>
      </c>
    </row>
    <row r="121" spans="9:21" ht="14.25" customHeight="1" x14ac:dyDescent="0.3">
      <c r="I121" s="7" t="s">
        <v>344</v>
      </c>
      <c r="J121" s="93">
        <v>1666.97</v>
      </c>
      <c r="K121" s="93">
        <v>22650</v>
      </c>
      <c r="L121" s="94"/>
      <c r="M121" s="97">
        <f t="shared" ref="M121:N121" si="117">LN(J121/J120)</f>
        <v>-9.1007979188927682E-3</v>
      </c>
      <c r="N121" s="97">
        <f t="shared" si="117"/>
        <v>6.1452779213663516E-2</v>
      </c>
      <c r="T121" s="96" t="s">
        <v>345</v>
      </c>
      <c r="U121" s="96">
        <v>4.1280000000000001</v>
      </c>
    </row>
    <row r="122" spans="9:21" ht="14.25" customHeight="1" x14ac:dyDescent="0.3">
      <c r="I122" s="98">
        <v>45847</v>
      </c>
      <c r="J122" s="93">
        <v>1667.26</v>
      </c>
      <c r="K122" s="93">
        <v>23372.400000000001</v>
      </c>
      <c r="L122" s="94"/>
      <c r="M122" s="97">
        <f t="shared" ref="M122:N122" si="118">LN(J122/J121)</f>
        <v>1.7395320702594664E-4</v>
      </c>
      <c r="N122" s="97">
        <f t="shared" si="118"/>
        <v>3.1395987112674315E-2</v>
      </c>
      <c r="T122" s="96" t="s">
        <v>346</v>
      </c>
      <c r="U122" s="96">
        <v>4.13</v>
      </c>
    </row>
    <row r="123" spans="9:21" ht="14.25" customHeight="1" x14ac:dyDescent="0.3">
      <c r="I123" s="7" t="s">
        <v>347</v>
      </c>
      <c r="J123" s="93">
        <v>1658.62</v>
      </c>
      <c r="K123" s="93">
        <v>22247.8</v>
      </c>
      <c r="L123" s="94"/>
      <c r="M123" s="97">
        <f t="shared" ref="M123:N123" si="119">LN(J123/J122)</f>
        <v>-5.1956290882868234E-3</v>
      </c>
      <c r="N123" s="97">
        <f t="shared" si="119"/>
        <v>-4.9312711722556517E-2</v>
      </c>
      <c r="T123" s="96" t="s">
        <v>348</v>
      </c>
      <c r="U123" s="96">
        <v>4.1260000000000003</v>
      </c>
    </row>
    <row r="124" spans="9:21" ht="14.25" customHeight="1" x14ac:dyDescent="0.3">
      <c r="I124" s="92" t="s">
        <v>349</v>
      </c>
      <c r="J124" s="93">
        <v>1660.7</v>
      </c>
      <c r="K124" s="93">
        <v>22150</v>
      </c>
      <c r="L124" s="94"/>
      <c r="M124" s="97">
        <f t="shared" ref="M124:N124" si="120">LN(J124/J123)</f>
        <v>1.253268905831328E-3</v>
      </c>
      <c r="N124" s="97">
        <f t="shared" si="120"/>
        <v>-4.4056308280162283E-3</v>
      </c>
      <c r="T124" s="98">
        <v>46003</v>
      </c>
      <c r="U124" s="96">
        <v>4.1239999999999997</v>
      </c>
    </row>
    <row r="125" spans="9:21" ht="14.25" customHeight="1" x14ac:dyDescent="0.3">
      <c r="I125" s="92" t="s">
        <v>350</v>
      </c>
      <c r="J125" s="93">
        <v>1645.82</v>
      </c>
      <c r="K125" s="93">
        <v>20800</v>
      </c>
      <c r="L125" s="94"/>
      <c r="M125" s="97">
        <f t="shared" ref="M125:N125" si="121">LN(J125/J124)</f>
        <v>-9.0004599700781139E-3</v>
      </c>
      <c r="N125" s="97">
        <f t="shared" si="121"/>
        <v>-6.2884509783872333E-2</v>
      </c>
      <c r="T125" s="98">
        <v>45973</v>
      </c>
      <c r="U125" s="96">
        <v>4.1269999999999998</v>
      </c>
    </row>
    <row r="126" spans="9:21" ht="14.25" customHeight="1" x14ac:dyDescent="0.3">
      <c r="I126" s="98">
        <v>45787</v>
      </c>
      <c r="J126" s="93">
        <v>1747.55</v>
      </c>
      <c r="K126" s="93">
        <v>21600</v>
      </c>
      <c r="L126" s="94"/>
      <c r="M126" s="97">
        <f t="shared" ref="M126:N126" si="122">LN(J126/J125)</f>
        <v>5.9976066759302255E-2</v>
      </c>
      <c r="N126" s="97">
        <f t="shared" si="122"/>
        <v>3.7740327982847113E-2</v>
      </c>
      <c r="T126" s="98">
        <v>45942</v>
      </c>
      <c r="U126" s="96">
        <v>4.0970000000000004</v>
      </c>
    </row>
    <row r="127" spans="9:21" ht="14.25" customHeight="1" x14ac:dyDescent="0.3">
      <c r="I127" s="98">
        <v>46001</v>
      </c>
      <c r="J127" s="93">
        <v>1731.19</v>
      </c>
      <c r="K127" s="93">
        <v>20000</v>
      </c>
      <c r="L127" s="94"/>
      <c r="M127" s="97">
        <f t="shared" ref="M127:N127" si="123">LN(J127/J126)</f>
        <v>-9.4057737065631353E-3</v>
      </c>
      <c r="N127" s="97">
        <f t="shared" si="123"/>
        <v>-7.6961041136128325E-2</v>
      </c>
      <c r="T127" s="98">
        <v>45912</v>
      </c>
      <c r="U127" s="96">
        <v>4.0979999999999999</v>
      </c>
    </row>
    <row r="128" spans="9:21" ht="14.25" customHeight="1" x14ac:dyDescent="0.3">
      <c r="I128" s="92" t="s">
        <v>351</v>
      </c>
      <c r="J128" s="93">
        <v>1683.18</v>
      </c>
      <c r="K128" s="93">
        <v>20150</v>
      </c>
      <c r="L128" s="94"/>
      <c r="M128" s="97">
        <f t="shared" ref="M128:N128" si="124">LN(J128/J127)</f>
        <v>-2.8124171951848242E-2</v>
      </c>
      <c r="N128" s="97">
        <f t="shared" si="124"/>
        <v>7.4720148387010564E-3</v>
      </c>
      <c r="T128" s="98">
        <v>45881</v>
      </c>
      <c r="U128" s="96">
        <v>4.0979999999999999</v>
      </c>
    </row>
    <row r="129" spans="9:21" ht="14.25" customHeight="1" x14ac:dyDescent="0.3">
      <c r="I129" s="92" t="s">
        <v>352</v>
      </c>
      <c r="J129" s="93">
        <v>1639.65</v>
      </c>
      <c r="K129" s="93">
        <v>21650</v>
      </c>
      <c r="L129" s="94"/>
      <c r="M129" s="97">
        <f t="shared" ref="M129:N129" si="125">LN(J129/J128)</f>
        <v>-2.6202056935565887E-2</v>
      </c>
      <c r="N129" s="97">
        <f t="shared" si="125"/>
        <v>7.18011660558069E-2</v>
      </c>
      <c r="T129" s="98">
        <v>45789</v>
      </c>
      <c r="U129" s="96">
        <v>4.0970000000000004</v>
      </c>
    </row>
    <row r="130" spans="9:21" ht="14.25" customHeight="1" x14ac:dyDescent="0.3">
      <c r="I130" s="98">
        <v>45699</v>
      </c>
      <c r="J130" s="93">
        <v>1599.1</v>
      </c>
      <c r="K130" s="93">
        <v>24700</v>
      </c>
      <c r="L130" s="94"/>
      <c r="M130" s="97">
        <f t="shared" ref="M130:N130" si="126">LN(J130/J129)</f>
        <v>-2.5041833442557834E-2</v>
      </c>
      <c r="N130" s="97">
        <f t="shared" si="126"/>
        <v>0.13179778918543258</v>
      </c>
      <c r="T130" s="98">
        <v>45759</v>
      </c>
      <c r="U130" s="96">
        <v>4.0780000000000003</v>
      </c>
    </row>
    <row r="131" spans="9:21" ht="14.25" customHeight="1" x14ac:dyDescent="0.3">
      <c r="I131" s="98">
        <v>45911</v>
      </c>
      <c r="J131" s="93">
        <v>1635.46</v>
      </c>
      <c r="K131" s="93">
        <v>26700</v>
      </c>
      <c r="L131" s="94"/>
      <c r="M131" s="97">
        <f t="shared" ref="M131:N131" si="127">LN(J131/J130)</f>
        <v>2.248313936146485E-2</v>
      </c>
      <c r="N131" s="97">
        <f t="shared" si="127"/>
        <v>7.7860321772272423E-2</v>
      </c>
      <c r="T131" s="98">
        <v>45728</v>
      </c>
      <c r="U131" s="96">
        <v>4.0839999999999996</v>
      </c>
    </row>
    <row r="132" spans="9:21" ht="14.25" customHeight="1" x14ac:dyDescent="0.3">
      <c r="I132" s="7" t="s">
        <v>353</v>
      </c>
      <c r="J132" s="93">
        <v>1654.93</v>
      </c>
      <c r="K132" s="93">
        <v>25750</v>
      </c>
      <c r="L132" s="94"/>
      <c r="M132" s="97">
        <f t="shared" ref="M132:N132" si="128">LN(J132/J131)</f>
        <v>1.1834601517290648E-2</v>
      </c>
      <c r="N132" s="97">
        <f t="shared" si="128"/>
        <v>-3.6228938296458665E-2</v>
      </c>
      <c r="T132" s="98">
        <v>45700</v>
      </c>
      <c r="U132" s="96">
        <v>4.0640000000000001</v>
      </c>
    </row>
    <row r="133" spans="9:21" ht="14.25" customHeight="1" x14ac:dyDescent="0.3">
      <c r="I133" s="92" t="s">
        <v>354</v>
      </c>
      <c r="J133" s="93">
        <v>1690.99</v>
      </c>
      <c r="K133" s="93">
        <v>26700</v>
      </c>
      <c r="L133" s="94"/>
      <c r="M133" s="97">
        <f t="shared" ref="M133:N133" si="129">LN(J133/J132)</f>
        <v>2.155544437638705E-2</v>
      </c>
      <c r="N133" s="97">
        <f t="shared" si="129"/>
        <v>3.6228938296458589E-2</v>
      </c>
      <c r="T133" s="98">
        <v>45669</v>
      </c>
      <c r="U133" s="96">
        <v>4.0490000000000004</v>
      </c>
    </row>
    <row r="134" spans="9:21" ht="14.25" customHeight="1" x14ac:dyDescent="0.3">
      <c r="I134" s="7" t="s">
        <v>355</v>
      </c>
      <c r="J134" s="93">
        <v>1741.32</v>
      </c>
      <c r="K134" s="93">
        <v>26050</v>
      </c>
      <c r="L134" s="94"/>
      <c r="M134" s="97">
        <f t="shared" ref="M134:N134" si="130">LN(J134/J133)</f>
        <v>2.9329290070463209E-2</v>
      </c>
      <c r="N134" s="97">
        <f t="shared" si="130"/>
        <v>-2.4645797206827868E-2</v>
      </c>
      <c r="T134" s="98"/>
      <c r="U134" s="96"/>
    </row>
    <row r="135" spans="9:21" ht="14.25" customHeight="1" x14ac:dyDescent="0.3">
      <c r="I135" s="98">
        <v>45850</v>
      </c>
      <c r="J135" s="93">
        <v>1646.89</v>
      </c>
      <c r="K135" s="93">
        <v>23600</v>
      </c>
      <c r="L135" s="94"/>
      <c r="M135" s="97">
        <f t="shared" ref="M135:N135" si="131">LN(J135/J134)</f>
        <v>-5.5754785443360835E-2</v>
      </c>
      <c r="N135" s="97">
        <f t="shared" si="131"/>
        <v>-9.8771056167811483E-2</v>
      </c>
      <c r="T135" s="98"/>
      <c r="U135" s="96"/>
    </row>
    <row r="136" spans="9:21" ht="14.25" customHeight="1" x14ac:dyDescent="0.3">
      <c r="I136" s="7" t="s">
        <v>356</v>
      </c>
      <c r="J136" s="93">
        <v>1704.31</v>
      </c>
      <c r="K136" s="93">
        <v>27600</v>
      </c>
      <c r="L136" s="94"/>
      <c r="M136" s="97">
        <f t="shared" ref="M136:N136" si="132">LN(J136/J135)</f>
        <v>3.427167587792436E-2</v>
      </c>
      <c r="N136" s="97">
        <f t="shared" si="132"/>
        <v>0.15656906069153992</v>
      </c>
      <c r="T136" s="98"/>
      <c r="U136" s="96"/>
    </row>
    <row r="137" spans="9:21" ht="14.25" customHeight="1" x14ac:dyDescent="0.3">
      <c r="I137" s="92" t="s">
        <v>357</v>
      </c>
      <c r="J137" s="93">
        <v>1729.8</v>
      </c>
      <c r="K137" s="93">
        <v>27350</v>
      </c>
      <c r="L137" s="94"/>
      <c r="M137" s="97">
        <f t="shared" ref="M137:N137" si="133">LN(J137/J136)</f>
        <v>1.4845458146846057E-2</v>
      </c>
      <c r="N137" s="97">
        <f t="shared" si="133"/>
        <v>-9.0992438551141461E-3</v>
      </c>
      <c r="T137" s="98"/>
      <c r="U137" s="96"/>
    </row>
    <row r="138" spans="9:21" ht="14.25" customHeight="1" x14ac:dyDescent="0.3">
      <c r="I138" s="92" t="s">
        <v>358</v>
      </c>
      <c r="J138" s="93">
        <v>1784.49</v>
      </c>
      <c r="K138" s="93">
        <v>28350</v>
      </c>
      <c r="L138" s="94"/>
      <c r="M138" s="97">
        <f t="shared" ref="M138:N138" si="134">LN(J138/J137)</f>
        <v>3.1126865231511015E-2</v>
      </c>
      <c r="N138" s="97">
        <f t="shared" si="134"/>
        <v>3.5910501305770809E-2</v>
      </c>
      <c r="T138" s="98"/>
      <c r="U138" s="96"/>
    </row>
    <row r="139" spans="9:21" ht="14.25" customHeight="1" x14ac:dyDescent="0.3">
      <c r="J139" s="93"/>
      <c r="K139" s="93"/>
      <c r="L139" s="94"/>
      <c r="M139" s="97"/>
      <c r="N139" s="97"/>
      <c r="T139" s="98"/>
      <c r="U139" s="96"/>
    </row>
    <row r="140" spans="9:21" ht="14.25" customHeight="1" x14ac:dyDescent="0.3">
      <c r="J140" s="93"/>
      <c r="K140" s="93"/>
      <c r="L140" s="94"/>
      <c r="M140" s="97"/>
      <c r="N140" s="97"/>
      <c r="T140" s="98"/>
      <c r="U140" s="96"/>
    </row>
    <row r="141" spans="9:21" ht="14.25" customHeight="1" x14ac:dyDescent="0.3">
      <c r="J141" s="93"/>
      <c r="K141" s="93"/>
      <c r="L141" s="94"/>
      <c r="M141" s="97"/>
      <c r="N141" s="97"/>
      <c r="T141" s="98"/>
      <c r="U141" s="96"/>
    </row>
    <row r="142" spans="9:21" ht="14.25" customHeight="1" x14ac:dyDescent="0.3">
      <c r="I142" s="98"/>
      <c r="J142" s="93"/>
      <c r="K142" s="93"/>
      <c r="L142" s="94"/>
      <c r="M142" s="97"/>
      <c r="N142" s="97"/>
      <c r="T142" s="98"/>
      <c r="U142" s="96"/>
    </row>
    <row r="143" spans="9:21" ht="14.25" customHeight="1" x14ac:dyDescent="0.3">
      <c r="J143" s="93"/>
      <c r="K143" s="93"/>
      <c r="L143" s="94"/>
      <c r="M143" s="97"/>
      <c r="N143" s="97"/>
      <c r="T143" s="98"/>
      <c r="U143" s="96"/>
    </row>
    <row r="144" spans="9:21" ht="14.25" customHeight="1" x14ac:dyDescent="0.3">
      <c r="J144" s="93"/>
      <c r="K144" s="93"/>
      <c r="L144" s="94"/>
      <c r="M144" s="97"/>
      <c r="N144" s="97"/>
      <c r="T144" s="98"/>
      <c r="U144" s="96"/>
    </row>
    <row r="145" spans="9:21" ht="14.25" customHeight="1" x14ac:dyDescent="0.3">
      <c r="J145" s="93"/>
      <c r="K145" s="93"/>
      <c r="L145" s="94"/>
      <c r="M145" s="97"/>
      <c r="N145" s="97"/>
      <c r="T145" s="98"/>
      <c r="U145" s="96"/>
    </row>
    <row r="146" spans="9:21" ht="14.25" customHeight="1" x14ac:dyDescent="0.3">
      <c r="I146" s="98"/>
      <c r="J146" s="93"/>
      <c r="K146" s="93"/>
      <c r="L146" s="94"/>
      <c r="M146" s="97"/>
      <c r="N146" s="97"/>
      <c r="T146" s="98"/>
      <c r="U146" s="96"/>
    </row>
    <row r="147" spans="9:21" ht="14.25" customHeight="1" x14ac:dyDescent="0.3">
      <c r="I147" s="98"/>
      <c r="J147" s="93"/>
      <c r="K147" s="93"/>
      <c r="L147" s="94"/>
      <c r="M147" s="97"/>
      <c r="N147" s="97"/>
      <c r="T147" s="98"/>
      <c r="U147" s="96"/>
    </row>
    <row r="148" spans="9:21" ht="14.25" customHeight="1" x14ac:dyDescent="0.3">
      <c r="J148" s="93"/>
      <c r="K148" s="93"/>
      <c r="L148" s="94"/>
      <c r="M148" s="97"/>
      <c r="N148" s="97"/>
      <c r="T148" s="98"/>
      <c r="U148" s="96"/>
    </row>
    <row r="149" spans="9:21" ht="14.25" customHeight="1" x14ac:dyDescent="0.3">
      <c r="J149" s="93"/>
      <c r="K149" s="93"/>
      <c r="L149" s="94"/>
      <c r="M149" s="97"/>
      <c r="N149" s="97"/>
      <c r="T149" s="98"/>
      <c r="U149" s="96"/>
    </row>
    <row r="150" spans="9:21" ht="14.25" customHeight="1" x14ac:dyDescent="0.3">
      <c r="I150" s="98"/>
      <c r="J150" s="93"/>
      <c r="K150" s="93"/>
      <c r="L150" s="94"/>
      <c r="M150" s="97"/>
      <c r="N150" s="97"/>
      <c r="T150" s="98"/>
      <c r="U150" s="96"/>
    </row>
    <row r="151" spans="9:21" ht="14.25" customHeight="1" x14ac:dyDescent="0.3">
      <c r="I151" s="98"/>
      <c r="J151" s="93"/>
      <c r="K151" s="93"/>
      <c r="L151" s="94"/>
      <c r="M151" s="97"/>
      <c r="N151" s="97"/>
      <c r="T151" s="98"/>
      <c r="U151" s="96"/>
    </row>
    <row r="152" spans="9:21" ht="14.25" customHeight="1" x14ac:dyDescent="0.3">
      <c r="J152" s="93"/>
      <c r="K152" s="93"/>
      <c r="L152" s="94"/>
      <c r="M152" s="97"/>
      <c r="N152" s="97"/>
      <c r="T152" s="98"/>
      <c r="U152" s="96"/>
    </row>
    <row r="153" spans="9:21" ht="14.25" customHeight="1" x14ac:dyDescent="0.3">
      <c r="J153" s="93"/>
      <c r="K153" s="93"/>
      <c r="L153" s="94"/>
      <c r="M153" s="97"/>
      <c r="N153" s="97"/>
      <c r="T153" s="98"/>
      <c r="U153" s="96"/>
    </row>
    <row r="154" spans="9:21" ht="14.25" customHeight="1" x14ac:dyDescent="0.3">
      <c r="J154" s="93"/>
      <c r="K154" s="93"/>
      <c r="L154" s="94"/>
      <c r="M154" s="97"/>
      <c r="N154" s="97"/>
      <c r="T154" s="98"/>
      <c r="U154" s="96"/>
    </row>
    <row r="155" spans="9:21" ht="14.25" customHeight="1" x14ac:dyDescent="0.3">
      <c r="I155" s="98"/>
      <c r="J155" s="93"/>
      <c r="K155" s="93"/>
      <c r="L155" s="94"/>
      <c r="M155" s="97"/>
      <c r="N155" s="97"/>
      <c r="T155" s="98"/>
      <c r="U155" s="96"/>
    </row>
    <row r="156" spans="9:21" ht="14.25" customHeight="1" x14ac:dyDescent="0.3">
      <c r="J156" s="93"/>
      <c r="K156" s="93"/>
      <c r="L156" s="94"/>
      <c r="M156" s="97"/>
      <c r="N156" s="97"/>
      <c r="T156" s="98"/>
      <c r="U156" s="96"/>
    </row>
    <row r="157" spans="9:21" ht="14.25" customHeight="1" x14ac:dyDescent="0.3">
      <c r="J157" s="93"/>
      <c r="K157" s="93"/>
      <c r="L157" s="94"/>
      <c r="M157" s="97"/>
      <c r="N157" s="97"/>
      <c r="T157" s="98"/>
      <c r="U157" s="96"/>
    </row>
    <row r="158" spans="9:21" ht="14.25" customHeight="1" x14ac:dyDescent="0.3">
      <c r="J158" s="93"/>
      <c r="K158" s="93"/>
      <c r="L158" s="94"/>
      <c r="M158" s="97"/>
      <c r="N158" s="97"/>
      <c r="T158" s="98"/>
      <c r="U158" s="96"/>
    </row>
    <row r="159" spans="9:21" ht="14.25" customHeight="1" x14ac:dyDescent="0.3">
      <c r="I159" s="98"/>
      <c r="J159" s="93"/>
      <c r="K159" s="93"/>
      <c r="L159" s="94"/>
      <c r="M159" s="97"/>
      <c r="N159" s="97"/>
    </row>
    <row r="160" spans="9:21" ht="14.25" customHeight="1" x14ac:dyDescent="0.3">
      <c r="J160" s="93"/>
      <c r="K160" s="93"/>
      <c r="L160" s="94"/>
      <c r="M160" s="97"/>
      <c r="N160" s="97"/>
    </row>
    <row r="161" spans="9:14" ht="14.25" customHeight="1" x14ac:dyDescent="0.3">
      <c r="J161" s="93"/>
      <c r="K161" s="93"/>
      <c r="L161" s="94"/>
      <c r="M161" s="97"/>
      <c r="N161" s="97"/>
    </row>
    <row r="162" spans="9:14" ht="14.25" customHeight="1" x14ac:dyDescent="0.3">
      <c r="J162" s="93"/>
      <c r="K162" s="93"/>
      <c r="L162" s="94"/>
      <c r="M162" s="97"/>
      <c r="N162" s="97"/>
    </row>
    <row r="163" spans="9:14" ht="14.25" customHeight="1" x14ac:dyDescent="0.3">
      <c r="I163" s="98"/>
      <c r="J163" s="93"/>
      <c r="K163" s="93"/>
      <c r="L163" s="94"/>
      <c r="M163" s="97"/>
      <c r="N163" s="97"/>
    </row>
    <row r="164" spans="9:14" ht="14.25" customHeight="1" x14ac:dyDescent="0.3">
      <c r="I164" s="98"/>
      <c r="J164" s="93"/>
      <c r="K164" s="93"/>
      <c r="L164" s="94"/>
      <c r="M164" s="97"/>
      <c r="N164" s="97"/>
    </row>
    <row r="165" spans="9:14" ht="14.25" customHeight="1" x14ac:dyDescent="0.3">
      <c r="J165" s="93"/>
      <c r="K165" s="93"/>
      <c r="L165" s="94"/>
      <c r="M165" s="97"/>
      <c r="N165" s="97"/>
    </row>
    <row r="166" spans="9:14" ht="14.25" customHeight="1" x14ac:dyDescent="0.3">
      <c r="J166" s="93"/>
      <c r="K166" s="93"/>
      <c r="L166" s="94"/>
      <c r="M166" s="97"/>
      <c r="N166" s="97"/>
    </row>
    <row r="167" spans="9:14" ht="14.25" customHeight="1" x14ac:dyDescent="0.3">
      <c r="I167" s="98"/>
      <c r="J167" s="93"/>
      <c r="K167" s="93"/>
      <c r="L167" s="94"/>
      <c r="M167" s="97"/>
      <c r="N167" s="97"/>
    </row>
    <row r="168" spans="9:14" ht="14.25" customHeight="1" x14ac:dyDescent="0.3">
      <c r="I168" s="98"/>
      <c r="J168" s="93"/>
      <c r="K168" s="93"/>
      <c r="L168" s="94"/>
      <c r="M168" s="97"/>
      <c r="N168" s="97"/>
    </row>
    <row r="169" spans="9:14" ht="14.25" customHeight="1" x14ac:dyDescent="0.3">
      <c r="J169" s="93"/>
      <c r="K169" s="93"/>
      <c r="L169" s="94"/>
      <c r="M169" s="97"/>
      <c r="N169" s="97"/>
    </row>
    <row r="170" spans="9:14" ht="14.25" customHeight="1" x14ac:dyDescent="0.3">
      <c r="J170" s="93"/>
      <c r="K170" s="93"/>
      <c r="L170" s="94"/>
      <c r="M170" s="97"/>
      <c r="N170" s="97"/>
    </row>
    <row r="171" spans="9:14" ht="14.25" customHeight="1" x14ac:dyDescent="0.3">
      <c r="J171" s="93"/>
      <c r="K171" s="93"/>
      <c r="L171" s="94"/>
      <c r="M171" s="97"/>
      <c r="N171" s="97"/>
    </row>
    <row r="172" spans="9:14" ht="14.25" customHeight="1" x14ac:dyDescent="0.3">
      <c r="I172" s="98"/>
      <c r="J172" s="93"/>
      <c r="K172" s="93"/>
      <c r="L172" s="94"/>
      <c r="M172" s="97"/>
      <c r="N172" s="97"/>
    </row>
    <row r="173" spans="9:14" ht="14.25" customHeight="1" x14ac:dyDescent="0.3">
      <c r="J173" s="93"/>
      <c r="K173" s="93"/>
      <c r="L173" s="94"/>
      <c r="M173" s="97"/>
      <c r="N173" s="97"/>
    </row>
    <row r="174" spans="9:14" ht="14.25" customHeight="1" x14ac:dyDescent="0.3">
      <c r="J174" s="93"/>
      <c r="K174" s="93"/>
      <c r="L174" s="94"/>
      <c r="M174" s="97"/>
      <c r="N174" s="97"/>
    </row>
    <row r="175" spans="9:14" ht="14.25" customHeight="1" x14ac:dyDescent="0.3">
      <c r="J175" s="93"/>
      <c r="K175" s="93"/>
      <c r="L175" s="94"/>
      <c r="M175" s="97"/>
      <c r="N175" s="97"/>
    </row>
    <row r="176" spans="9:14" ht="14.25" customHeight="1" x14ac:dyDescent="0.3">
      <c r="I176" s="98"/>
      <c r="J176" s="93"/>
      <c r="K176" s="93"/>
      <c r="L176" s="94"/>
      <c r="M176" s="97"/>
      <c r="N176" s="97"/>
    </row>
    <row r="177" spans="9:14" ht="14.25" customHeight="1" x14ac:dyDescent="0.3">
      <c r="I177" s="98"/>
      <c r="J177" s="93"/>
      <c r="K177" s="93"/>
      <c r="L177" s="94"/>
      <c r="M177" s="97"/>
      <c r="N177" s="97"/>
    </row>
    <row r="178" spans="9:14" ht="14.25" customHeight="1" x14ac:dyDescent="0.3">
      <c r="J178" s="93"/>
      <c r="K178" s="93"/>
      <c r="L178" s="94"/>
      <c r="M178" s="97"/>
      <c r="N178" s="97"/>
    </row>
    <row r="179" spans="9:14" ht="14.25" customHeight="1" x14ac:dyDescent="0.3">
      <c r="J179" s="93"/>
      <c r="K179" s="93"/>
      <c r="L179" s="94"/>
      <c r="M179" s="97"/>
      <c r="N179" s="97"/>
    </row>
    <row r="180" spans="9:14" ht="14.25" customHeight="1" x14ac:dyDescent="0.3">
      <c r="I180" s="98"/>
      <c r="J180" s="93"/>
      <c r="K180" s="93"/>
      <c r="L180" s="94"/>
      <c r="M180" s="97"/>
      <c r="N180" s="97"/>
    </row>
    <row r="181" spans="9:14" ht="14.25" customHeight="1" x14ac:dyDescent="0.3">
      <c r="I181" s="98"/>
      <c r="J181" s="93"/>
      <c r="K181" s="93"/>
      <c r="L181" s="94"/>
      <c r="M181" s="97"/>
      <c r="N181" s="97"/>
    </row>
    <row r="182" spans="9:14" ht="14.25" customHeight="1" x14ac:dyDescent="0.3">
      <c r="J182" s="93"/>
      <c r="K182" s="93"/>
      <c r="L182" s="94"/>
      <c r="M182" s="97"/>
      <c r="N182" s="97"/>
    </row>
    <row r="183" spans="9:14" ht="14.25" customHeight="1" x14ac:dyDescent="0.3">
      <c r="J183" s="93"/>
      <c r="K183" s="93"/>
      <c r="L183" s="94"/>
      <c r="M183" s="97"/>
      <c r="N183" s="97"/>
    </row>
    <row r="184" spans="9:14" ht="14.25" customHeight="1" x14ac:dyDescent="0.3">
      <c r="J184" s="93"/>
      <c r="K184" s="93"/>
      <c r="L184" s="94"/>
      <c r="M184" s="97"/>
      <c r="N184" s="97"/>
    </row>
    <row r="185" spans="9:14" ht="14.25" customHeight="1" x14ac:dyDescent="0.3">
      <c r="I185" s="98"/>
      <c r="J185" s="93"/>
      <c r="K185" s="93"/>
      <c r="L185" s="94"/>
      <c r="M185" s="97"/>
      <c r="N185" s="97"/>
    </row>
    <row r="186" spans="9:14" ht="14.25" customHeight="1" x14ac:dyDescent="0.3">
      <c r="J186" s="93"/>
      <c r="K186" s="93"/>
      <c r="L186" s="94"/>
      <c r="M186" s="97"/>
      <c r="N186" s="97"/>
    </row>
    <row r="187" spans="9:14" ht="14.25" customHeight="1" x14ac:dyDescent="0.3">
      <c r="J187" s="93"/>
      <c r="K187" s="93"/>
      <c r="L187" s="94"/>
      <c r="M187" s="97"/>
      <c r="N187" s="97"/>
    </row>
    <row r="188" spans="9:14" ht="14.25" customHeight="1" x14ac:dyDescent="0.3">
      <c r="J188" s="93"/>
      <c r="K188" s="93"/>
      <c r="L188" s="94"/>
      <c r="M188" s="97"/>
      <c r="N188" s="97"/>
    </row>
    <row r="189" spans="9:14" ht="14.25" customHeight="1" x14ac:dyDescent="0.3">
      <c r="I189" s="98"/>
      <c r="J189" s="93"/>
      <c r="K189" s="93"/>
      <c r="L189" s="94"/>
      <c r="M189" s="97"/>
      <c r="N189" s="97"/>
    </row>
    <row r="190" spans="9:14" ht="14.25" customHeight="1" x14ac:dyDescent="0.3">
      <c r="I190" s="98"/>
      <c r="J190" s="93"/>
      <c r="K190" s="93"/>
      <c r="L190" s="94"/>
      <c r="M190" s="97"/>
      <c r="N190" s="97"/>
    </row>
    <row r="191" spans="9:14" ht="14.25" customHeight="1" x14ac:dyDescent="0.3">
      <c r="J191" s="93"/>
      <c r="K191" s="93"/>
      <c r="L191" s="94"/>
      <c r="M191" s="97"/>
      <c r="N191" s="97"/>
    </row>
    <row r="192" spans="9:14" ht="14.25" customHeight="1" x14ac:dyDescent="0.3">
      <c r="J192" s="93"/>
      <c r="K192" s="93"/>
      <c r="L192" s="94"/>
      <c r="M192" s="97"/>
      <c r="N192" s="97"/>
    </row>
    <row r="193" spans="9:14" ht="14.25" customHeight="1" x14ac:dyDescent="0.3">
      <c r="I193" s="98"/>
      <c r="J193" s="93"/>
      <c r="K193" s="93"/>
      <c r="L193" s="94"/>
      <c r="M193" s="97"/>
      <c r="N193" s="97"/>
    </row>
    <row r="194" spans="9:14" ht="14.25" customHeight="1" x14ac:dyDescent="0.3">
      <c r="I194" s="98"/>
      <c r="J194" s="93"/>
      <c r="K194" s="93"/>
      <c r="L194" s="94"/>
      <c r="M194" s="97"/>
      <c r="N194" s="97"/>
    </row>
    <row r="195" spans="9:14" ht="14.25" customHeight="1" x14ac:dyDescent="0.3">
      <c r="J195" s="93"/>
      <c r="K195" s="93"/>
      <c r="L195" s="94"/>
      <c r="M195" s="97"/>
      <c r="N195" s="97"/>
    </row>
    <row r="196" spans="9:14" ht="14.25" customHeight="1" x14ac:dyDescent="0.3">
      <c r="J196" s="93"/>
      <c r="K196" s="93"/>
      <c r="L196" s="94"/>
      <c r="M196" s="97"/>
      <c r="N196" s="97"/>
    </row>
    <row r="197" spans="9:14" ht="14.25" customHeight="1" x14ac:dyDescent="0.3">
      <c r="J197" s="93"/>
      <c r="K197" s="93"/>
      <c r="L197" s="94"/>
      <c r="M197" s="97"/>
      <c r="N197" s="97"/>
    </row>
    <row r="198" spans="9:14" ht="14.25" customHeight="1" x14ac:dyDescent="0.3">
      <c r="I198" s="98"/>
      <c r="J198" s="93"/>
      <c r="K198" s="93"/>
      <c r="L198" s="94"/>
      <c r="M198" s="97"/>
      <c r="N198" s="97"/>
    </row>
    <row r="199" spans="9:14" ht="14.25" customHeight="1" x14ac:dyDescent="0.3">
      <c r="J199" s="93"/>
      <c r="K199" s="93"/>
      <c r="L199" s="94"/>
      <c r="M199" s="97"/>
      <c r="N199" s="97"/>
    </row>
    <row r="200" spans="9:14" ht="14.25" customHeight="1" x14ac:dyDescent="0.3">
      <c r="J200" s="93"/>
      <c r="K200" s="93"/>
      <c r="L200" s="94"/>
      <c r="M200" s="97"/>
      <c r="N200" s="97"/>
    </row>
    <row r="201" spans="9:14" ht="14.25" customHeight="1" x14ac:dyDescent="0.3">
      <c r="J201" s="93"/>
      <c r="K201" s="93"/>
      <c r="L201" s="94"/>
      <c r="M201" s="97"/>
      <c r="N201" s="97"/>
    </row>
    <row r="202" spans="9:14" ht="14.25" customHeight="1" x14ac:dyDescent="0.3">
      <c r="I202" s="98"/>
      <c r="J202" s="93"/>
      <c r="K202" s="93"/>
      <c r="L202" s="94"/>
      <c r="M202" s="97"/>
      <c r="N202" s="97"/>
    </row>
    <row r="203" spans="9:14" ht="14.25" customHeight="1" x14ac:dyDescent="0.3">
      <c r="I203" s="98"/>
      <c r="J203" s="93"/>
      <c r="K203" s="93"/>
      <c r="L203" s="94"/>
      <c r="M203" s="97"/>
      <c r="N203" s="97"/>
    </row>
    <row r="204" spans="9:14" ht="14.25" customHeight="1" x14ac:dyDescent="0.3">
      <c r="J204" s="93"/>
      <c r="K204" s="93"/>
      <c r="L204" s="94"/>
      <c r="M204" s="97"/>
      <c r="N204" s="97"/>
    </row>
    <row r="205" spans="9:14" ht="14.25" customHeight="1" x14ac:dyDescent="0.3">
      <c r="J205" s="93"/>
      <c r="K205" s="93"/>
      <c r="L205" s="94"/>
      <c r="M205" s="97"/>
      <c r="N205" s="97"/>
    </row>
    <row r="206" spans="9:14" ht="14.25" customHeight="1" x14ac:dyDescent="0.3">
      <c r="I206" s="98"/>
      <c r="J206" s="93"/>
      <c r="K206" s="93"/>
      <c r="L206" s="94"/>
      <c r="M206" s="97"/>
      <c r="N206" s="97"/>
    </row>
    <row r="207" spans="9:14" ht="14.25" customHeight="1" x14ac:dyDescent="0.3">
      <c r="I207" s="98"/>
      <c r="J207" s="93"/>
      <c r="K207" s="93"/>
      <c r="L207" s="94"/>
      <c r="M207" s="97"/>
      <c r="N207" s="97"/>
    </row>
    <row r="208" spans="9:14" ht="14.25" customHeight="1" x14ac:dyDescent="0.3">
      <c r="J208" s="93"/>
      <c r="K208" s="93"/>
      <c r="L208" s="94"/>
      <c r="M208" s="97"/>
      <c r="N208" s="97"/>
    </row>
    <row r="209" spans="9:14" ht="14.25" customHeight="1" x14ac:dyDescent="0.3">
      <c r="J209" s="93"/>
      <c r="K209" s="93"/>
      <c r="L209" s="94"/>
      <c r="M209" s="97"/>
      <c r="N209" s="97"/>
    </row>
    <row r="210" spans="9:14" ht="14.25" customHeight="1" x14ac:dyDescent="0.3">
      <c r="J210" s="93"/>
      <c r="K210" s="93"/>
      <c r="L210" s="94"/>
      <c r="M210" s="97"/>
      <c r="N210" s="97"/>
    </row>
    <row r="211" spans="9:14" ht="14.25" customHeight="1" x14ac:dyDescent="0.3">
      <c r="I211" s="98"/>
      <c r="J211" s="93"/>
      <c r="K211" s="93"/>
      <c r="L211" s="94"/>
      <c r="M211" s="97"/>
      <c r="N211" s="97"/>
    </row>
    <row r="212" spans="9:14" ht="14.25" customHeight="1" x14ac:dyDescent="0.3">
      <c r="I212" s="98"/>
      <c r="J212" s="93"/>
      <c r="K212" s="93"/>
      <c r="L212" s="94"/>
      <c r="M212" s="97"/>
      <c r="N212" s="97"/>
    </row>
    <row r="213" spans="9:14" ht="14.25" customHeight="1" x14ac:dyDescent="0.3">
      <c r="J213" s="93"/>
      <c r="K213" s="93"/>
      <c r="L213" s="94"/>
      <c r="M213" s="97"/>
      <c r="N213" s="97"/>
    </row>
    <row r="214" spans="9:14" ht="14.25" customHeight="1" x14ac:dyDescent="0.3">
      <c r="I214" s="98"/>
      <c r="J214" s="93"/>
      <c r="K214" s="93"/>
      <c r="L214" s="94"/>
      <c r="M214" s="97"/>
      <c r="N214" s="97"/>
    </row>
    <row r="215" spans="9:14" ht="14.25" customHeight="1" x14ac:dyDescent="0.3">
      <c r="I215" s="98"/>
      <c r="J215" s="93"/>
      <c r="K215" s="93"/>
      <c r="L215" s="94"/>
      <c r="M215" s="97"/>
      <c r="N215" s="97"/>
    </row>
    <row r="216" spans="9:14" ht="14.25" customHeight="1" x14ac:dyDescent="0.3">
      <c r="J216" s="93"/>
      <c r="K216" s="93"/>
      <c r="L216" s="94"/>
      <c r="M216" s="97"/>
      <c r="N216" s="97"/>
    </row>
    <row r="217" spans="9:14" ht="14.25" customHeight="1" x14ac:dyDescent="0.3">
      <c r="J217" s="93"/>
      <c r="K217" s="93"/>
      <c r="L217" s="94"/>
      <c r="M217" s="97"/>
      <c r="N217" s="97"/>
    </row>
    <row r="218" spans="9:14" ht="14.25" customHeight="1" x14ac:dyDescent="0.3">
      <c r="I218" s="98"/>
      <c r="J218" s="93"/>
      <c r="K218" s="93"/>
      <c r="L218" s="94"/>
      <c r="M218" s="97"/>
      <c r="N218" s="97"/>
    </row>
    <row r="219" spans="9:14" ht="14.25" customHeight="1" x14ac:dyDescent="0.3">
      <c r="I219" s="98"/>
      <c r="J219" s="93"/>
      <c r="K219" s="93"/>
      <c r="L219" s="94"/>
      <c r="M219" s="97"/>
      <c r="N219" s="97"/>
    </row>
    <row r="220" spans="9:14" ht="14.25" customHeight="1" x14ac:dyDescent="0.3">
      <c r="J220" s="93"/>
      <c r="K220" s="93"/>
      <c r="L220" s="94"/>
      <c r="M220" s="97"/>
      <c r="N220" s="97"/>
    </row>
    <row r="221" spans="9:14" ht="14.25" customHeight="1" x14ac:dyDescent="0.3">
      <c r="J221" s="93"/>
      <c r="K221" s="93"/>
      <c r="L221" s="94"/>
      <c r="M221" s="97"/>
      <c r="N221" s="97"/>
    </row>
    <row r="222" spans="9:14" ht="14.25" customHeight="1" x14ac:dyDescent="0.3">
      <c r="J222" s="93"/>
      <c r="K222" s="93"/>
      <c r="L222" s="94"/>
      <c r="M222" s="97"/>
      <c r="N222" s="97"/>
    </row>
    <row r="223" spans="9:14" ht="14.25" customHeight="1" x14ac:dyDescent="0.3">
      <c r="I223" s="98"/>
      <c r="J223" s="93"/>
      <c r="K223" s="93"/>
      <c r="L223" s="94"/>
      <c r="M223" s="97"/>
      <c r="N223" s="97"/>
    </row>
    <row r="224" spans="9:14" ht="14.25" customHeight="1" x14ac:dyDescent="0.3">
      <c r="J224" s="93"/>
      <c r="K224" s="93"/>
      <c r="L224" s="94"/>
      <c r="M224" s="97"/>
      <c r="N224" s="97"/>
    </row>
    <row r="225" spans="9:14" ht="14.25" customHeight="1" x14ac:dyDescent="0.3">
      <c r="J225" s="93"/>
      <c r="K225" s="93"/>
      <c r="L225" s="94"/>
      <c r="M225" s="97"/>
      <c r="N225" s="97"/>
    </row>
    <row r="226" spans="9:14" ht="14.25" customHeight="1" x14ac:dyDescent="0.3">
      <c r="J226" s="93"/>
      <c r="K226" s="93"/>
      <c r="L226" s="94"/>
      <c r="M226" s="97"/>
      <c r="N226" s="97"/>
    </row>
    <row r="227" spans="9:14" ht="14.25" customHeight="1" x14ac:dyDescent="0.3">
      <c r="I227" s="98"/>
      <c r="J227" s="93"/>
      <c r="K227" s="93"/>
      <c r="L227" s="94"/>
      <c r="M227" s="97"/>
      <c r="N227" s="97"/>
    </row>
    <row r="228" spans="9:14" ht="14.25" customHeight="1" x14ac:dyDescent="0.3">
      <c r="I228" s="98"/>
      <c r="J228" s="93"/>
      <c r="K228" s="93"/>
      <c r="L228" s="94"/>
      <c r="M228" s="97"/>
      <c r="N228" s="97"/>
    </row>
    <row r="229" spans="9:14" ht="14.25" customHeight="1" x14ac:dyDescent="0.3">
      <c r="J229" s="93"/>
      <c r="K229" s="93"/>
      <c r="L229" s="94"/>
      <c r="M229" s="97"/>
      <c r="N229" s="97"/>
    </row>
    <row r="230" spans="9:14" ht="14.25" customHeight="1" x14ac:dyDescent="0.3">
      <c r="J230" s="93"/>
      <c r="K230" s="93"/>
      <c r="L230" s="94"/>
      <c r="M230" s="97"/>
      <c r="N230" s="97"/>
    </row>
    <row r="231" spans="9:14" ht="14.25" customHeight="1" x14ac:dyDescent="0.3">
      <c r="I231" s="98"/>
      <c r="J231" s="93"/>
      <c r="K231" s="93"/>
      <c r="L231" s="94"/>
      <c r="M231" s="97"/>
      <c r="N231" s="97"/>
    </row>
    <row r="232" spans="9:14" ht="14.25" customHeight="1" x14ac:dyDescent="0.3">
      <c r="I232" s="98"/>
      <c r="J232" s="93"/>
      <c r="K232" s="93"/>
      <c r="L232" s="94"/>
      <c r="M232" s="97"/>
      <c r="N232" s="97"/>
    </row>
    <row r="233" spans="9:14" ht="14.25" customHeight="1" x14ac:dyDescent="0.3">
      <c r="J233" s="93"/>
      <c r="K233" s="93"/>
      <c r="L233" s="94"/>
      <c r="M233" s="97"/>
      <c r="N233" s="97"/>
    </row>
    <row r="234" spans="9:14" ht="14.25" customHeight="1" x14ac:dyDescent="0.3">
      <c r="J234" s="93"/>
      <c r="K234" s="93"/>
      <c r="L234" s="94"/>
      <c r="M234" s="97"/>
      <c r="N234" s="97"/>
    </row>
    <row r="235" spans="9:14" ht="14.25" customHeight="1" x14ac:dyDescent="0.3">
      <c r="J235" s="93"/>
      <c r="K235" s="93"/>
      <c r="L235" s="94"/>
      <c r="M235" s="97"/>
      <c r="N235" s="97"/>
    </row>
    <row r="236" spans="9:14" ht="14.25" customHeight="1" x14ac:dyDescent="0.3">
      <c r="I236" s="98"/>
      <c r="J236" s="93"/>
      <c r="K236" s="93"/>
      <c r="L236" s="94"/>
      <c r="M236" s="97"/>
      <c r="N236" s="97"/>
    </row>
    <row r="237" spans="9:14" ht="14.25" customHeight="1" x14ac:dyDescent="0.3">
      <c r="J237" s="93"/>
      <c r="K237" s="93"/>
      <c r="L237" s="94"/>
      <c r="M237" s="97"/>
      <c r="N237" s="97"/>
    </row>
    <row r="238" spans="9:14" ht="14.25" customHeight="1" x14ac:dyDescent="0.3">
      <c r="J238" s="93"/>
      <c r="K238" s="93"/>
      <c r="L238" s="94"/>
      <c r="M238" s="97"/>
      <c r="N238" s="97"/>
    </row>
    <row r="239" spans="9:14" ht="14.25" customHeight="1" x14ac:dyDescent="0.3">
      <c r="J239" s="93"/>
      <c r="K239" s="93"/>
      <c r="L239" s="94"/>
      <c r="M239" s="97"/>
      <c r="N239" s="97"/>
    </row>
    <row r="240" spans="9:14" ht="14.25" customHeight="1" x14ac:dyDescent="0.3">
      <c r="I240" s="98"/>
      <c r="J240" s="93"/>
      <c r="K240" s="93"/>
      <c r="L240" s="94"/>
      <c r="M240" s="97"/>
      <c r="N240" s="97"/>
    </row>
    <row r="241" spans="9:14" ht="14.25" customHeight="1" x14ac:dyDescent="0.3">
      <c r="I241" s="98"/>
      <c r="J241" s="93"/>
      <c r="K241" s="93"/>
      <c r="L241" s="94"/>
      <c r="M241" s="97"/>
      <c r="N241" s="97"/>
    </row>
    <row r="242" spans="9:14" ht="14.25" customHeight="1" x14ac:dyDescent="0.3">
      <c r="J242" s="93"/>
      <c r="K242" s="93"/>
      <c r="L242" s="94"/>
      <c r="M242" s="97"/>
      <c r="N242" s="97"/>
    </row>
    <row r="243" spans="9:14" ht="14.25" customHeight="1" x14ac:dyDescent="0.3">
      <c r="J243" s="93"/>
      <c r="K243" s="93"/>
      <c r="L243" s="94"/>
      <c r="M243" s="97"/>
      <c r="N243" s="97"/>
    </row>
    <row r="244" spans="9:14" ht="14.25" customHeight="1" x14ac:dyDescent="0.3">
      <c r="J244" s="93"/>
      <c r="K244" s="93"/>
      <c r="L244" s="94"/>
      <c r="M244" s="97"/>
      <c r="N244" s="97"/>
    </row>
    <row r="245" spans="9:14" ht="14.25" customHeight="1" x14ac:dyDescent="0.3">
      <c r="I245" s="98"/>
      <c r="J245" s="93"/>
      <c r="K245" s="93"/>
      <c r="L245" s="94"/>
      <c r="M245" s="97"/>
      <c r="N245" s="97"/>
    </row>
    <row r="246" spans="9:14" ht="14.25" customHeight="1" x14ac:dyDescent="0.3">
      <c r="J246" s="93"/>
      <c r="K246" s="93"/>
      <c r="L246" s="94"/>
      <c r="M246" s="97"/>
      <c r="N246" s="97"/>
    </row>
    <row r="247" spans="9:14" ht="14.25" customHeight="1" x14ac:dyDescent="0.3">
      <c r="J247" s="93"/>
      <c r="K247" s="93"/>
      <c r="L247" s="94"/>
      <c r="M247" s="97"/>
      <c r="N247" s="97"/>
    </row>
    <row r="248" spans="9:14" ht="14.25" customHeight="1" x14ac:dyDescent="0.3">
      <c r="J248" s="93"/>
      <c r="K248" s="93"/>
      <c r="L248" s="94"/>
      <c r="M248" s="97"/>
      <c r="N248" s="97"/>
    </row>
    <row r="249" spans="9:14" ht="14.25" customHeight="1" x14ac:dyDescent="0.3">
      <c r="I249" s="98"/>
      <c r="J249" s="93"/>
      <c r="K249" s="93"/>
      <c r="L249" s="94"/>
      <c r="M249" s="97"/>
      <c r="N249" s="97"/>
    </row>
    <row r="250" spans="9:14" ht="14.25" customHeight="1" x14ac:dyDescent="0.3">
      <c r="I250" s="98"/>
      <c r="J250" s="93"/>
      <c r="K250" s="93"/>
      <c r="L250" s="94"/>
      <c r="M250" s="97"/>
      <c r="N250" s="97"/>
    </row>
    <row r="251" spans="9:14" ht="14.25" customHeight="1" x14ac:dyDescent="0.3">
      <c r="J251" s="93"/>
      <c r="K251" s="93"/>
      <c r="L251" s="94"/>
      <c r="M251" s="97"/>
      <c r="N251" s="97"/>
    </row>
    <row r="252" spans="9:14" ht="14.25" customHeight="1" x14ac:dyDescent="0.3">
      <c r="J252" s="93"/>
      <c r="K252" s="93"/>
      <c r="L252" s="94"/>
      <c r="M252" s="97"/>
      <c r="N252" s="97"/>
    </row>
    <row r="253" spans="9:14" ht="14.25" customHeight="1" x14ac:dyDescent="0.3">
      <c r="I253" s="98"/>
      <c r="J253" s="93"/>
      <c r="K253" s="93"/>
      <c r="L253" s="94"/>
      <c r="M253" s="97"/>
      <c r="N253" s="97"/>
    </row>
    <row r="254" spans="9:14" ht="14.25" customHeight="1" x14ac:dyDescent="0.3">
      <c r="I254" s="98"/>
      <c r="J254" s="93"/>
      <c r="K254" s="93"/>
      <c r="L254" s="94"/>
      <c r="M254" s="97"/>
      <c r="N254" s="97"/>
    </row>
    <row r="255" spans="9:14" ht="14.25" customHeight="1" x14ac:dyDescent="0.3">
      <c r="J255" s="93"/>
      <c r="K255" s="93"/>
      <c r="L255" s="94"/>
      <c r="M255" s="97"/>
      <c r="N255" s="97"/>
    </row>
    <row r="256" spans="9:14" ht="14.25" customHeight="1" x14ac:dyDescent="0.3">
      <c r="J256" s="93"/>
      <c r="K256" s="93"/>
      <c r="L256" s="94"/>
      <c r="M256" s="97"/>
      <c r="N256" s="97"/>
    </row>
    <row r="257" spans="9:14" ht="14.25" customHeight="1" x14ac:dyDescent="0.3">
      <c r="J257" s="93"/>
      <c r="K257" s="93"/>
      <c r="L257" s="94"/>
      <c r="M257" s="97"/>
      <c r="N257" s="97"/>
    </row>
    <row r="258" spans="9:14" ht="14.25" customHeight="1" x14ac:dyDescent="0.3">
      <c r="I258" s="98"/>
      <c r="J258" s="93"/>
      <c r="K258" s="93"/>
      <c r="L258" s="94"/>
      <c r="M258" s="97"/>
      <c r="N258" s="97"/>
    </row>
    <row r="259" spans="9:14" ht="14.25" customHeight="1" x14ac:dyDescent="0.3">
      <c r="J259" s="93"/>
      <c r="K259" s="93"/>
      <c r="L259" s="94"/>
      <c r="M259" s="97"/>
      <c r="N259" s="97"/>
    </row>
    <row r="260" spans="9:14" ht="14.25" customHeight="1" x14ac:dyDescent="0.3">
      <c r="J260" s="93"/>
      <c r="K260" s="93"/>
      <c r="L260" s="94"/>
      <c r="M260" s="97"/>
      <c r="N260" s="97"/>
    </row>
    <row r="261" spans="9:14" ht="14.25" customHeight="1" x14ac:dyDescent="0.3">
      <c r="J261" s="93"/>
      <c r="K261" s="93"/>
      <c r="L261" s="94"/>
      <c r="M261" s="97"/>
      <c r="N261" s="97"/>
    </row>
    <row r="262" spans="9:14" ht="14.25" customHeight="1" x14ac:dyDescent="0.3"/>
    <row r="263" spans="9:14" ht="14.25" customHeight="1" x14ac:dyDescent="0.3"/>
    <row r="264" spans="9:14" ht="14.25" customHeight="1" x14ac:dyDescent="0.3"/>
    <row r="265" spans="9:14" ht="14.25" customHeight="1" x14ac:dyDescent="0.3"/>
    <row r="266" spans="9:14" ht="14.25" customHeight="1" x14ac:dyDescent="0.3"/>
    <row r="267" spans="9:14" ht="14.25" customHeight="1" x14ac:dyDescent="0.3"/>
    <row r="268" spans="9:14" ht="14.25" customHeight="1" x14ac:dyDescent="0.3"/>
    <row r="269" spans="9:14" ht="14.25" customHeight="1" x14ac:dyDescent="0.3"/>
    <row r="270" spans="9:14" ht="14.25" customHeight="1" x14ac:dyDescent="0.3"/>
    <row r="271" spans="9:14" ht="14.25" customHeight="1" x14ac:dyDescent="0.3"/>
    <row r="272" spans="9:14" ht="14.25" customHeight="1" x14ac:dyDescent="0.3"/>
    <row r="273" s="7" customFormat="1" ht="14.25" customHeight="1" x14ac:dyDescent="0.3"/>
    <row r="274" s="7" customFormat="1" ht="14.25" customHeight="1" x14ac:dyDescent="0.3"/>
    <row r="275" s="7" customFormat="1" ht="14.25" customHeight="1" x14ac:dyDescent="0.3"/>
    <row r="276" s="7" customFormat="1" ht="14.25" customHeight="1" x14ac:dyDescent="0.3"/>
    <row r="277" s="7" customFormat="1" ht="14.25" customHeight="1" x14ac:dyDescent="0.3"/>
    <row r="278" s="7" customFormat="1" ht="14.25" customHeight="1" x14ac:dyDescent="0.3"/>
    <row r="279" s="7" customFormat="1" ht="14.25" customHeight="1" x14ac:dyDescent="0.3"/>
    <row r="280" s="7" customFormat="1" ht="14.25" customHeight="1" x14ac:dyDescent="0.3"/>
    <row r="281" s="7" customFormat="1" ht="14.25" customHeight="1" x14ac:dyDescent="0.3"/>
    <row r="282" s="7" customFormat="1" ht="14.25" customHeight="1" x14ac:dyDescent="0.3"/>
    <row r="283" s="7" customFormat="1" ht="14.25" customHeight="1" x14ac:dyDescent="0.3"/>
    <row r="284" s="7" customFormat="1" ht="14.25" customHeight="1" x14ac:dyDescent="0.3"/>
    <row r="285" s="7" customFormat="1" ht="14.25" customHeight="1" x14ac:dyDescent="0.3"/>
    <row r="286" s="7" customFormat="1" ht="14.25" customHeight="1" x14ac:dyDescent="0.3"/>
    <row r="287" s="7" customFormat="1" ht="14.25" customHeight="1" x14ac:dyDescent="0.3"/>
    <row r="288" s="7" customFormat="1" ht="14.25" customHeight="1" x14ac:dyDescent="0.3"/>
    <row r="289" s="7" customFormat="1" ht="14.25" customHeight="1" x14ac:dyDescent="0.3"/>
    <row r="290" s="7" customFormat="1" ht="14.25" customHeight="1" x14ac:dyDescent="0.3"/>
    <row r="291" s="7" customFormat="1" ht="14.25" customHeight="1" x14ac:dyDescent="0.3"/>
    <row r="292" s="7" customFormat="1" ht="14.25" customHeight="1" x14ac:dyDescent="0.3"/>
    <row r="293" s="7" customFormat="1" ht="14.25" customHeight="1" x14ac:dyDescent="0.3"/>
    <row r="294" s="7" customFormat="1" ht="14.25" customHeight="1" x14ac:dyDescent="0.3"/>
    <row r="295" s="7" customFormat="1" ht="14.25" customHeight="1" x14ac:dyDescent="0.3"/>
    <row r="296" s="7" customFormat="1" ht="14.25" customHeight="1" x14ac:dyDescent="0.3"/>
    <row r="297" s="7" customFormat="1" ht="14.25" customHeight="1" x14ac:dyDescent="0.3"/>
    <row r="298" s="7" customFormat="1" ht="14.25" customHeight="1" x14ac:dyDescent="0.3"/>
    <row r="299" s="7" customFormat="1" ht="14.25" customHeight="1" x14ac:dyDescent="0.3"/>
    <row r="300" s="7" customFormat="1" ht="14.25" customHeight="1" x14ac:dyDescent="0.3"/>
    <row r="301" s="7" customFormat="1" ht="14.25" customHeight="1" x14ac:dyDescent="0.3"/>
    <row r="302" s="7" customFormat="1" ht="14.25" customHeight="1" x14ac:dyDescent="0.3"/>
    <row r="303" s="7" customFormat="1" ht="14.25" customHeight="1" x14ac:dyDescent="0.3"/>
    <row r="304" s="7" customFormat="1" ht="14.25" customHeight="1" x14ac:dyDescent="0.3"/>
    <row r="305" s="7" customFormat="1" ht="14.25" customHeight="1" x14ac:dyDescent="0.3"/>
    <row r="306" s="7" customFormat="1" ht="14.25" customHeight="1" x14ac:dyDescent="0.3"/>
    <row r="307" s="7" customFormat="1" ht="14.25" customHeight="1" x14ac:dyDescent="0.3"/>
    <row r="308" s="7" customFormat="1" ht="14.25" customHeight="1" x14ac:dyDescent="0.3"/>
    <row r="309" s="7" customFormat="1" ht="14.25" customHeight="1" x14ac:dyDescent="0.3"/>
    <row r="310" s="7" customFormat="1" ht="14.25" customHeight="1" x14ac:dyDescent="0.3"/>
    <row r="311" s="7" customFormat="1" ht="14.25" customHeight="1" x14ac:dyDescent="0.3"/>
    <row r="312" s="7" customFormat="1" ht="14.25" customHeight="1" x14ac:dyDescent="0.3"/>
    <row r="313" s="7" customFormat="1" ht="14.25" customHeight="1" x14ac:dyDescent="0.3"/>
    <row r="314" s="7" customFormat="1" ht="14.25" customHeight="1" x14ac:dyDescent="0.3"/>
    <row r="315" s="7" customFormat="1" ht="14.25" customHeight="1" x14ac:dyDescent="0.3"/>
    <row r="316" s="7" customFormat="1" ht="14.25" customHeight="1" x14ac:dyDescent="0.3"/>
    <row r="317" s="7" customFormat="1" ht="14.25" customHeight="1" x14ac:dyDescent="0.3"/>
    <row r="318" s="7" customFormat="1" ht="14.25" customHeight="1" x14ac:dyDescent="0.3"/>
    <row r="319" s="7" customFormat="1" ht="14.25" customHeight="1" x14ac:dyDescent="0.3"/>
    <row r="320" s="7" customFormat="1" ht="14.25" customHeight="1" x14ac:dyDescent="0.3"/>
    <row r="321" s="7" customFormat="1" ht="14.25" customHeight="1" x14ac:dyDescent="0.3"/>
    <row r="322" s="7" customFormat="1" ht="14.25" customHeight="1" x14ac:dyDescent="0.3"/>
    <row r="323" s="7" customFormat="1" ht="14.25" customHeight="1" x14ac:dyDescent="0.3"/>
    <row r="324" s="7" customFormat="1" ht="14.25" customHeight="1" x14ac:dyDescent="0.3"/>
    <row r="325" s="7" customFormat="1" ht="14.25" customHeight="1" x14ac:dyDescent="0.3"/>
    <row r="326" s="7" customFormat="1" ht="14.25" customHeight="1" x14ac:dyDescent="0.3"/>
    <row r="327" s="7" customFormat="1" ht="14.25" customHeight="1" x14ac:dyDescent="0.3"/>
    <row r="328" s="7" customFormat="1" ht="14.25" customHeight="1" x14ac:dyDescent="0.3"/>
    <row r="329" s="7" customFormat="1" ht="14.25" customHeight="1" x14ac:dyDescent="0.3"/>
    <row r="330" s="7" customFormat="1" ht="14.25" customHeight="1" x14ac:dyDescent="0.3"/>
    <row r="331" s="7" customFormat="1" ht="14.25" customHeight="1" x14ac:dyDescent="0.3"/>
    <row r="332" s="7" customFormat="1" ht="14.25" customHeight="1" x14ac:dyDescent="0.3"/>
    <row r="333" s="7" customFormat="1" ht="14.25" customHeight="1" x14ac:dyDescent="0.3"/>
    <row r="334" s="7" customFormat="1" ht="14.25" customHeight="1" x14ac:dyDescent="0.3"/>
    <row r="335" s="7" customFormat="1" ht="14.25" customHeight="1" x14ac:dyDescent="0.3"/>
    <row r="336" s="7" customFormat="1" ht="14.25" customHeight="1" x14ac:dyDescent="0.3"/>
    <row r="337" s="7" customFormat="1" ht="14.25" customHeight="1" x14ac:dyDescent="0.3"/>
    <row r="338" s="7" customFormat="1" ht="14.25" customHeight="1" x14ac:dyDescent="0.3"/>
    <row r="339" s="7" customFormat="1" ht="14.25" customHeight="1" x14ac:dyDescent="0.3"/>
    <row r="340" s="7" customFormat="1" ht="14.25" customHeight="1" x14ac:dyDescent="0.3"/>
    <row r="341" s="7" customFormat="1" ht="14.25" customHeight="1" x14ac:dyDescent="0.3"/>
    <row r="342" s="7" customFormat="1" ht="14.25" customHeight="1" x14ac:dyDescent="0.3"/>
    <row r="343" s="7" customFormat="1" ht="14.25" customHeight="1" x14ac:dyDescent="0.3"/>
    <row r="344" s="7" customFormat="1" ht="14.25" customHeight="1" x14ac:dyDescent="0.3"/>
    <row r="345" s="7" customFormat="1" ht="14.25" customHeight="1" x14ac:dyDescent="0.3"/>
    <row r="346" s="7" customFormat="1" ht="14.25" customHeight="1" x14ac:dyDescent="0.3"/>
    <row r="347" s="7" customFormat="1" ht="14.25" customHeight="1" x14ac:dyDescent="0.3"/>
    <row r="348" s="7" customFormat="1" ht="14.25" customHeight="1" x14ac:dyDescent="0.3"/>
    <row r="349" s="7" customFormat="1" ht="14.25" customHeight="1" x14ac:dyDescent="0.3"/>
    <row r="350" s="7" customFormat="1" ht="14.25" customHeight="1" x14ac:dyDescent="0.3"/>
    <row r="351" s="7" customFormat="1" ht="14.25" customHeight="1" x14ac:dyDescent="0.3"/>
    <row r="352" s="7" customFormat="1" ht="14.25" customHeight="1" x14ac:dyDescent="0.3"/>
    <row r="353" s="7" customFormat="1" ht="14.25" customHeight="1" x14ac:dyDescent="0.3"/>
    <row r="354" s="7" customFormat="1" ht="14.25" customHeight="1" x14ac:dyDescent="0.3"/>
    <row r="355" s="7" customFormat="1" ht="14.25" customHeight="1" x14ac:dyDescent="0.3"/>
    <row r="356" s="7" customFormat="1" ht="14.25" customHeight="1" x14ac:dyDescent="0.3"/>
    <row r="357" s="7" customFormat="1" ht="14.25" customHeight="1" x14ac:dyDescent="0.3"/>
    <row r="358" s="7" customFormat="1" ht="14.25" customHeight="1" x14ac:dyDescent="0.3"/>
    <row r="359" s="7" customFormat="1" ht="14.25" customHeight="1" x14ac:dyDescent="0.3"/>
    <row r="360" s="7" customFormat="1" ht="14.25" customHeight="1" x14ac:dyDescent="0.3"/>
    <row r="361" s="7" customFormat="1" ht="14.25" customHeight="1" x14ac:dyDescent="0.3"/>
    <row r="362" s="7" customFormat="1" ht="14.25" customHeight="1" x14ac:dyDescent="0.3"/>
    <row r="363" s="7" customFormat="1" ht="14.25" customHeight="1" x14ac:dyDescent="0.3"/>
    <row r="364" s="7" customFormat="1" ht="14.25" customHeight="1" x14ac:dyDescent="0.3"/>
    <row r="365" s="7" customFormat="1" ht="14.25" customHeight="1" x14ac:dyDescent="0.3"/>
    <row r="366" s="7" customFormat="1" ht="14.25" customHeight="1" x14ac:dyDescent="0.3"/>
    <row r="367" s="7" customFormat="1" ht="14.25" customHeight="1" x14ac:dyDescent="0.3"/>
    <row r="368" s="7" customFormat="1" ht="14.25" customHeight="1" x14ac:dyDescent="0.3"/>
    <row r="369" s="7" customFormat="1" ht="14.25" customHeight="1" x14ac:dyDescent="0.3"/>
    <row r="370" s="7" customFormat="1" ht="14.25" customHeight="1" x14ac:dyDescent="0.3"/>
    <row r="371" s="7" customFormat="1" ht="14.25" customHeight="1" x14ac:dyDescent="0.3"/>
    <row r="372" s="7" customFormat="1" ht="14.25" customHeight="1" x14ac:dyDescent="0.3"/>
    <row r="373" s="7" customFormat="1" ht="14.25" customHeight="1" x14ac:dyDescent="0.3"/>
    <row r="374" s="7" customFormat="1" ht="14.25" customHeight="1" x14ac:dyDescent="0.3"/>
    <row r="375" s="7" customFormat="1" ht="14.25" customHeight="1" x14ac:dyDescent="0.3"/>
    <row r="376" s="7" customFormat="1" ht="14.25" customHeight="1" x14ac:dyDescent="0.3"/>
    <row r="377" s="7" customFormat="1" ht="14.25" customHeight="1" x14ac:dyDescent="0.3"/>
    <row r="378" s="7" customFormat="1" ht="14.25" customHeight="1" x14ac:dyDescent="0.3"/>
    <row r="379" s="7" customFormat="1" ht="14.25" customHeight="1" x14ac:dyDescent="0.3"/>
    <row r="380" s="7" customFormat="1" ht="14.25" customHeight="1" x14ac:dyDescent="0.3"/>
    <row r="381" s="7" customFormat="1" ht="14.25" customHeight="1" x14ac:dyDescent="0.3"/>
    <row r="382" s="7" customFormat="1" ht="14.25" customHeight="1" x14ac:dyDescent="0.3"/>
    <row r="383" s="7" customFormat="1" ht="14.25" customHeight="1" x14ac:dyDescent="0.3"/>
    <row r="384" s="7" customFormat="1" ht="14.25" customHeight="1" x14ac:dyDescent="0.3"/>
    <row r="385" s="7" customFormat="1" ht="14.25" customHeight="1" x14ac:dyDescent="0.3"/>
    <row r="386" s="7" customFormat="1" ht="14.25" customHeight="1" x14ac:dyDescent="0.3"/>
    <row r="387" s="7" customFormat="1" ht="14.25" customHeight="1" x14ac:dyDescent="0.3"/>
    <row r="388" s="7" customFormat="1" ht="14.25" customHeight="1" x14ac:dyDescent="0.3"/>
    <row r="389" s="7" customFormat="1" ht="14.25" customHeight="1" x14ac:dyDescent="0.3"/>
    <row r="390" s="7" customFormat="1" ht="14.25" customHeight="1" x14ac:dyDescent="0.3"/>
    <row r="391" s="7" customFormat="1" ht="14.25" customHeight="1" x14ac:dyDescent="0.3"/>
    <row r="392" s="7" customFormat="1" ht="14.25" customHeight="1" x14ac:dyDescent="0.3"/>
    <row r="393" s="7" customFormat="1" ht="14.25" customHeight="1" x14ac:dyDescent="0.3"/>
    <row r="394" s="7" customFormat="1" ht="14.25" customHeight="1" x14ac:dyDescent="0.3"/>
    <row r="395" s="7" customFormat="1" ht="14.25" customHeight="1" x14ac:dyDescent="0.3"/>
    <row r="396" s="7" customFormat="1" ht="14.25" customHeight="1" x14ac:dyDescent="0.3"/>
    <row r="397" s="7" customFormat="1" ht="14.25" customHeight="1" x14ac:dyDescent="0.3"/>
    <row r="398" s="7" customFormat="1" ht="14.25" customHeight="1" x14ac:dyDescent="0.3"/>
    <row r="399" s="7" customFormat="1" ht="14.25" customHeight="1" x14ac:dyDescent="0.3"/>
    <row r="400" s="7" customFormat="1" ht="14.25" customHeight="1" x14ac:dyDescent="0.3"/>
    <row r="401" s="7" customFormat="1" ht="14.25" customHeight="1" x14ac:dyDescent="0.3"/>
    <row r="402" s="7" customFormat="1" ht="14.25" customHeight="1" x14ac:dyDescent="0.3"/>
    <row r="403" s="7" customFormat="1" ht="14.25" customHeight="1" x14ac:dyDescent="0.3"/>
    <row r="404" s="7" customFormat="1" ht="14.25" customHeight="1" x14ac:dyDescent="0.3"/>
    <row r="405" s="7" customFormat="1" ht="14.25" customHeight="1" x14ac:dyDescent="0.3"/>
    <row r="406" s="7" customFormat="1" ht="14.25" customHeight="1" x14ac:dyDescent="0.3"/>
    <row r="407" s="7" customFormat="1" ht="14.25" customHeight="1" x14ac:dyDescent="0.3"/>
    <row r="408" s="7" customFormat="1" ht="14.25" customHeight="1" x14ac:dyDescent="0.3"/>
    <row r="409" s="7" customFormat="1" ht="14.25" customHeight="1" x14ac:dyDescent="0.3"/>
    <row r="410" s="7" customFormat="1" ht="14.25" customHeight="1" x14ac:dyDescent="0.3"/>
    <row r="411" s="7" customFormat="1" ht="14.25" customHeight="1" x14ac:dyDescent="0.3"/>
    <row r="412" s="7" customFormat="1" ht="14.25" customHeight="1" x14ac:dyDescent="0.3"/>
    <row r="413" s="7" customFormat="1" ht="14.25" customHeight="1" x14ac:dyDescent="0.3"/>
    <row r="414" s="7" customFormat="1" ht="14.25" customHeight="1" x14ac:dyDescent="0.3"/>
    <row r="415" s="7" customFormat="1" ht="14.25" customHeight="1" x14ac:dyDescent="0.3"/>
    <row r="416" s="7" customFormat="1" ht="14.25" customHeight="1" x14ac:dyDescent="0.3"/>
    <row r="417" s="7" customFormat="1" ht="14.25" customHeight="1" x14ac:dyDescent="0.3"/>
    <row r="418" s="7" customFormat="1" ht="14.25" customHeight="1" x14ac:dyDescent="0.3"/>
    <row r="419" s="7" customFormat="1" ht="14.25" customHeight="1" x14ac:dyDescent="0.3"/>
    <row r="420" s="7" customFormat="1" ht="14.25" customHeight="1" x14ac:dyDescent="0.3"/>
    <row r="421" s="7" customFormat="1" ht="14.25" customHeight="1" x14ac:dyDescent="0.3"/>
    <row r="422" s="7" customFormat="1" ht="14.25" customHeight="1" x14ac:dyDescent="0.3"/>
    <row r="423" s="7" customFormat="1" ht="14.25" customHeight="1" x14ac:dyDescent="0.3"/>
    <row r="424" s="7" customFormat="1" ht="14.25" customHeight="1" x14ac:dyDescent="0.3"/>
    <row r="425" s="7" customFormat="1" ht="14.25" customHeight="1" x14ac:dyDescent="0.3"/>
    <row r="426" s="7" customFormat="1" ht="14.25" customHeight="1" x14ac:dyDescent="0.3"/>
    <row r="427" s="7" customFormat="1" ht="14.25" customHeight="1" x14ac:dyDescent="0.3"/>
    <row r="428" s="7" customFormat="1" ht="14.25" customHeight="1" x14ac:dyDescent="0.3"/>
    <row r="429" s="7" customFormat="1" ht="14.25" customHeight="1" x14ac:dyDescent="0.3"/>
    <row r="430" s="7" customFormat="1" ht="14.25" customHeight="1" x14ac:dyDescent="0.3"/>
    <row r="431" s="7" customFormat="1" ht="14.25" customHeight="1" x14ac:dyDescent="0.3"/>
    <row r="432" s="7" customFormat="1" ht="14.25" customHeight="1" x14ac:dyDescent="0.3"/>
    <row r="433" s="7" customFormat="1" ht="14.25" customHeight="1" x14ac:dyDescent="0.3"/>
    <row r="434" s="7" customFormat="1" ht="14.25" customHeight="1" x14ac:dyDescent="0.3"/>
    <row r="435" s="7" customFormat="1" ht="14.25" customHeight="1" x14ac:dyDescent="0.3"/>
    <row r="436" s="7" customFormat="1" ht="14.25" customHeight="1" x14ac:dyDescent="0.3"/>
    <row r="437" s="7" customFormat="1" ht="14.25" customHeight="1" x14ac:dyDescent="0.3"/>
    <row r="438" s="7" customFormat="1" ht="14.25" customHeight="1" x14ac:dyDescent="0.3"/>
    <row r="439" s="7" customFormat="1" ht="14.25" customHeight="1" x14ac:dyDescent="0.3"/>
    <row r="440" s="7" customFormat="1" ht="14.25" customHeight="1" x14ac:dyDescent="0.3"/>
    <row r="441" s="7" customFormat="1" ht="14.25" customHeight="1" x14ac:dyDescent="0.3"/>
    <row r="442" s="7" customFormat="1" ht="14.25" customHeight="1" x14ac:dyDescent="0.3"/>
    <row r="443" s="7" customFormat="1" ht="14.25" customHeight="1" x14ac:dyDescent="0.3"/>
    <row r="444" s="7" customFormat="1" ht="14.25" customHeight="1" x14ac:dyDescent="0.3"/>
    <row r="445" s="7" customFormat="1" ht="14.25" customHeight="1" x14ac:dyDescent="0.3"/>
    <row r="446" s="7" customFormat="1" ht="14.25" customHeight="1" x14ac:dyDescent="0.3"/>
    <row r="447" s="7" customFormat="1" ht="14.25" customHeight="1" x14ac:dyDescent="0.3"/>
    <row r="448" s="7" customFormat="1" ht="14.25" customHeight="1" x14ac:dyDescent="0.3"/>
    <row r="449" s="7" customFormat="1" ht="14.25" customHeight="1" x14ac:dyDescent="0.3"/>
    <row r="450" s="7" customFormat="1" ht="14.25" customHeight="1" x14ac:dyDescent="0.3"/>
    <row r="451" s="7" customFormat="1" ht="14.25" customHeight="1" x14ac:dyDescent="0.3"/>
    <row r="452" s="7" customFormat="1" ht="14.25" customHeight="1" x14ac:dyDescent="0.3"/>
    <row r="453" s="7" customFormat="1" ht="14.25" customHeight="1" x14ac:dyDescent="0.3"/>
    <row r="454" s="7" customFormat="1" ht="14.25" customHeight="1" x14ac:dyDescent="0.3"/>
    <row r="455" s="7" customFormat="1" ht="14.25" customHeight="1" x14ac:dyDescent="0.3"/>
    <row r="456" s="7" customFormat="1" ht="14.25" customHeight="1" x14ac:dyDescent="0.3"/>
    <row r="457" s="7" customFormat="1" ht="14.25" customHeight="1" x14ac:dyDescent="0.3"/>
    <row r="458" s="7" customFormat="1" ht="14.25" customHeight="1" x14ac:dyDescent="0.3"/>
    <row r="459" s="7" customFormat="1" ht="14.25" customHeight="1" x14ac:dyDescent="0.3"/>
    <row r="460" s="7" customFormat="1" ht="14.25" customHeight="1" x14ac:dyDescent="0.3"/>
    <row r="461" s="7" customFormat="1" ht="14.25" customHeight="1" x14ac:dyDescent="0.3"/>
    <row r="462" s="7" customFormat="1" ht="14.25" customHeight="1" x14ac:dyDescent="0.3"/>
    <row r="463" s="7" customFormat="1" ht="14.25" customHeight="1" x14ac:dyDescent="0.3"/>
    <row r="464" s="7" customFormat="1" ht="14.25" customHeight="1" x14ac:dyDescent="0.3"/>
    <row r="465" s="7" customFormat="1" ht="14.25" customHeight="1" x14ac:dyDescent="0.3"/>
    <row r="466" s="7" customFormat="1" ht="14.25" customHeight="1" x14ac:dyDescent="0.3"/>
    <row r="467" s="7" customFormat="1" ht="14.25" customHeight="1" x14ac:dyDescent="0.3"/>
    <row r="468" s="7" customFormat="1" ht="14.25" customHeight="1" x14ac:dyDescent="0.3"/>
    <row r="469" s="7" customFormat="1" ht="14.25" customHeight="1" x14ac:dyDescent="0.3"/>
    <row r="470" s="7" customFormat="1" ht="14.25" customHeight="1" x14ac:dyDescent="0.3"/>
    <row r="471" s="7" customFormat="1" ht="14.25" customHeight="1" x14ac:dyDescent="0.3"/>
    <row r="472" s="7" customFormat="1" ht="14.25" customHeight="1" x14ac:dyDescent="0.3"/>
    <row r="473" s="7" customFormat="1" ht="14.25" customHeight="1" x14ac:dyDescent="0.3"/>
    <row r="474" s="7" customFormat="1" ht="14.25" customHeight="1" x14ac:dyDescent="0.3"/>
    <row r="475" s="7" customFormat="1" ht="14.25" customHeight="1" x14ac:dyDescent="0.3"/>
    <row r="476" s="7" customFormat="1" ht="14.25" customHeight="1" x14ac:dyDescent="0.3"/>
    <row r="477" s="7" customFormat="1" ht="14.25" customHeight="1" x14ac:dyDescent="0.3"/>
    <row r="478" s="7" customFormat="1" ht="14.25" customHeight="1" x14ac:dyDescent="0.3"/>
    <row r="479" s="7" customFormat="1" ht="14.25" customHeight="1" x14ac:dyDescent="0.3"/>
    <row r="480" s="7" customFormat="1" ht="14.25" customHeight="1" x14ac:dyDescent="0.3"/>
    <row r="481" s="7" customFormat="1" ht="14.25" customHeight="1" x14ac:dyDescent="0.3"/>
    <row r="482" s="7" customFormat="1" ht="14.25" customHeight="1" x14ac:dyDescent="0.3"/>
    <row r="483" s="7" customFormat="1" ht="14.25" customHeight="1" x14ac:dyDescent="0.3"/>
    <row r="484" s="7" customFormat="1" ht="14.25" customHeight="1" x14ac:dyDescent="0.3"/>
    <row r="485" s="7" customFormat="1" ht="14.25" customHeight="1" x14ac:dyDescent="0.3"/>
    <row r="486" s="7" customFormat="1" ht="14.25" customHeight="1" x14ac:dyDescent="0.3"/>
    <row r="487" s="7" customFormat="1" ht="14.25" customHeight="1" x14ac:dyDescent="0.3"/>
    <row r="488" s="7" customFormat="1" ht="14.25" customHeight="1" x14ac:dyDescent="0.3"/>
    <row r="489" s="7" customFormat="1" ht="14.25" customHeight="1" x14ac:dyDescent="0.3"/>
    <row r="490" s="7" customFormat="1" ht="14.25" customHeight="1" x14ac:dyDescent="0.3"/>
    <row r="491" s="7" customFormat="1" ht="14.25" customHeight="1" x14ac:dyDescent="0.3"/>
    <row r="492" s="7" customFormat="1" ht="14.25" customHeight="1" x14ac:dyDescent="0.3"/>
    <row r="493" s="7" customFormat="1" ht="14.25" customHeight="1" x14ac:dyDescent="0.3"/>
    <row r="494" s="7" customFormat="1" ht="14.25" customHeight="1" x14ac:dyDescent="0.3"/>
    <row r="495" s="7" customFormat="1" ht="14.25" customHeight="1" x14ac:dyDescent="0.3"/>
    <row r="496" s="7" customFormat="1" ht="14.25" customHeight="1" x14ac:dyDescent="0.3"/>
    <row r="497" s="7" customFormat="1" ht="14.25" customHeight="1" x14ac:dyDescent="0.3"/>
    <row r="498" s="7" customFormat="1" ht="14.25" customHeight="1" x14ac:dyDescent="0.3"/>
    <row r="499" s="7" customFormat="1" ht="14.25" customHeight="1" x14ac:dyDescent="0.3"/>
    <row r="500" s="7" customFormat="1" ht="14.25" customHeight="1" x14ac:dyDescent="0.3"/>
    <row r="501" s="7" customFormat="1" ht="14.25" customHeight="1" x14ac:dyDescent="0.3"/>
    <row r="502" s="7" customFormat="1" ht="14.25" customHeight="1" x14ac:dyDescent="0.3"/>
    <row r="503" s="7" customFormat="1" ht="14.25" customHeight="1" x14ac:dyDescent="0.3"/>
    <row r="504" s="7" customFormat="1" ht="14.25" customHeight="1" x14ac:dyDescent="0.3"/>
    <row r="505" s="7" customFormat="1" ht="14.25" customHeight="1" x14ac:dyDescent="0.3"/>
    <row r="506" s="7" customFormat="1" ht="14.25" customHeight="1" x14ac:dyDescent="0.3"/>
    <row r="507" s="7" customFormat="1" ht="14.25" customHeight="1" x14ac:dyDescent="0.3"/>
    <row r="508" s="7" customFormat="1" ht="14.25" customHeight="1" x14ac:dyDescent="0.3"/>
    <row r="509" s="7" customFormat="1" ht="14.25" customHeight="1" x14ac:dyDescent="0.3"/>
    <row r="510" s="7" customFormat="1" ht="14.25" customHeight="1" x14ac:dyDescent="0.3"/>
    <row r="511" s="7" customFormat="1" ht="14.25" customHeight="1" x14ac:dyDescent="0.3"/>
    <row r="512" s="7" customFormat="1" ht="14.25" customHeight="1" x14ac:dyDescent="0.3"/>
    <row r="513" s="7" customFormat="1" ht="14.25" customHeight="1" x14ac:dyDescent="0.3"/>
    <row r="514" s="7" customFormat="1" ht="14.25" customHeight="1" x14ac:dyDescent="0.3"/>
    <row r="515" s="7" customFormat="1" ht="14.25" customHeight="1" x14ac:dyDescent="0.3"/>
    <row r="516" s="7" customFormat="1" ht="14.25" customHeight="1" x14ac:dyDescent="0.3"/>
    <row r="517" s="7" customFormat="1" ht="14.25" customHeight="1" x14ac:dyDescent="0.3"/>
    <row r="518" s="7" customFormat="1" ht="14.25" customHeight="1" x14ac:dyDescent="0.3"/>
    <row r="519" s="7" customFormat="1" ht="14.25" customHeight="1" x14ac:dyDescent="0.3"/>
    <row r="520" s="7" customFormat="1" ht="14.25" customHeight="1" x14ac:dyDescent="0.3"/>
    <row r="521" s="7" customFormat="1" ht="14.25" customHeight="1" x14ac:dyDescent="0.3"/>
    <row r="522" s="7" customFormat="1" ht="14.25" customHeight="1" x14ac:dyDescent="0.3"/>
    <row r="523" s="7" customFormat="1" ht="14.25" customHeight="1" x14ac:dyDescent="0.3"/>
    <row r="524" s="7" customFormat="1" ht="14.25" customHeight="1" x14ac:dyDescent="0.3"/>
    <row r="525" s="7" customFormat="1" ht="14.25" customHeight="1" x14ac:dyDescent="0.3"/>
    <row r="526" s="7" customFormat="1" ht="14.25" customHeight="1" x14ac:dyDescent="0.3"/>
    <row r="527" s="7" customFormat="1" ht="14.25" customHeight="1" x14ac:dyDescent="0.3"/>
    <row r="528" s="7" customFormat="1" ht="14.25" customHeight="1" x14ac:dyDescent="0.3"/>
    <row r="529" s="7" customFormat="1" ht="14.25" customHeight="1" x14ac:dyDescent="0.3"/>
    <row r="530" s="7" customFormat="1" ht="14.25" customHeight="1" x14ac:dyDescent="0.3"/>
    <row r="531" s="7" customFormat="1" ht="14.25" customHeight="1" x14ac:dyDescent="0.3"/>
    <row r="532" s="7" customFormat="1" ht="14.25" customHeight="1" x14ac:dyDescent="0.3"/>
    <row r="533" s="7" customFormat="1" ht="14.25" customHeight="1" x14ac:dyDescent="0.3"/>
    <row r="534" s="7" customFormat="1" ht="14.25" customHeight="1" x14ac:dyDescent="0.3"/>
    <row r="535" s="7" customFormat="1" ht="14.25" customHeight="1" x14ac:dyDescent="0.3"/>
    <row r="536" s="7" customFormat="1" ht="14.25" customHeight="1" x14ac:dyDescent="0.3"/>
    <row r="537" s="7" customFormat="1" ht="14.25" customHeight="1" x14ac:dyDescent="0.3"/>
    <row r="538" s="7" customFormat="1" ht="14.25" customHeight="1" x14ac:dyDescent="0.3"/>
    <row r="539" s="7" customFormat="1" ht="14.25" customHeight="1" x14ac:dyDescent="0.3"/>
    <row r="540" s="7" customFormat="1" ht="14.25" customHeight="1" x14ac:dyDescent="0.3"/>
    <row r="541" s="7" customFormat="1" ht="14.25" customHeight="1" x14ac:dyDescent="0.3"/>
    <row r="542" s="7" customFormat="1" ht="14.25" customHeight="1" x14ac:dyDescent="0.3"/>
    <row r="543" s="7" customFormat="1" ht="14.25" customHeight="1" x14ac:dyDescent="0.3"/>
    <row r="544" s="7" customFormat="1" ht="14.25" customHeight="1" x14ac:dyDescent="0.3"/>
    <row r="545" s="7" customFormat="1" ht="14.25" customHeight="1" x14ac:dyDescent="0.3"/>
    <row r="546" s="7" customFormat="1" ht="14.25" customHeight="1" x14ac:dyDescent="0.3"/>
    <row r="547" s="7" customFormat="1" ht="14.25" customHeight="1" x14ac:dyDescent="0.3"/>
    <row r="548" s="7" customFormat="1" ht="14.25" customHeight="1" x14ac:dyDescent="0.3"/>
    <row r="549" s="7" customFormat="1" ht="14.25" customHeight="1" x14ac:dyDescent="0.3"/>
    <row r="550" s="7" customFormat="1" ht="14.25" customHeight="1" x14ac:dyDescent="0.3"/>
    <row r="551" s="7" customFormat="1" ht="14.25" customHeight="1" x14ac:dyDescent="0.3"/>
    <row r="552" s="7" customFormat="1" ht="14.25" customHeight="1" x14ac:dyDescent="0.3"/>
    <row r="553" s="7" customFormat="1" ht="14.25" customHeight="1" x14ac:dyDescent="0.3"/>
    <row r="554" s="7" customFormat="1" ht="14.25" customHeight="1" x14ac:dyDescent="0.3"/>
    <row r="555" s="7" customFormat="1" ht="14.25" customHeight="1" x14ac:dyDescent="0.3"/>
    <row r="556" s="7" customFormat="1" ht="14.25" customHeight="1" x14ac:dyDescent="0.3"/>
    <row r="557" s="7" customFormat="1" ht="14.25" customHeight="1" x14ac:dyDescent="0.3"/>
    <row r="558" s="7" customFormat="1" ht="14.25" customHeight="1" x14ac:dyDescent="0.3"/>
    <row r="559" s="7" customFormat="1" ht="14.25" customHeight="1" x14ac:dyDescent="0.3"/>
    <row r="560" s="7" customFormat="1" ht="14.25" customHeight="1" x14ac:dyDescent="0.3"/>
    <row r="561" s="7" customFormat="1" ht="14.25" customHeight="1" x14ac:dyDescent="0.3"/>
    <row r="562" s="7" customFormat="1" ht="14.25" customHeight="1" x14ac:dyDescent="0.3"/>
    <row r="563" s="7" customFormat="1" ht="14.25" customHeight="1" x14ac:dyDescent="0.3"/>
    <row r="564" s="7" customFormat="1" ht="14.25" customHeight="1" x14ac:dyDescent="0.3"/>
    <row r="565" s="7" customFormat="1" ht="14.25" customHeight="1" x14ac:dyDescent="0.3"/>
    <row r="566" s="7" customFormat="1" ht="14.25" customHeight="1" x14ac:dyDescent="0.3"/>
    <row r="567" s="7" customFormat="1" ht="14.25" customHeight="1" x14ac:dyDescent="0.3"/>
    <row r="568" s="7" customFormat="1" ht="14.25" customHeight="1" x14ac:dyDescent="0.3"/>
    <row r="569" s="7" customFormat="1" ht="14.25" customHeight="1" x14ac:dyDescent="0.3"/>
    <row r="570" s="7" customFormat="1" ht="14.25" customHeight="1" x14ac:dyDescent="0.3"/>
    <row r="571" s="7" customFormat="1" ht="14.25" customHeight="1" x14ac:dyDescent="0.3"/>
    <row r="572" s="7" customFormat="1" ht="14.25" customHeight="1" x14ac:dyDescent="0.3"/>
    <row r="573" s="7" customFormat="1" ht="14.25" customHeight="1" x14ac:dyDescent="0.3"/>
    <row r="574" s="7" customFormat="1" ht="14.25" customHeight="1" x14ac:dyDescent="0.3"/>
    <row r="575" s="7" customFormat="1" ht="14.25" customHeight="1" x14ac:dyDescent="0.3"/>
    <row r="576" s="7" customFormat="1" ht="14.25" customHeight="1" x14ac:dyDescent="0.3"/>
    <row r="577" s="7" customFormat="1" ht="14.25" customHeight="1" x14ac:dyDescent="0.3"/>
    <row r="578" s="7" customFormat="1" ht="14.25" customHeight="1" x14ac:dyDescent="0.3"/>
    <row r="579" s="7" customFormat="1" ht="14.25" customHeight="1" x14ac:dyDescent="0.3"/>
    <row r="580" s="7" customFormat="1" ht="14.25" customHeight="1" x14ac:dyDescent="0.3"/>
    <row r="581" s="7" customFormat="1" ht="14.25" customHeight="1" x14ac:dyDescent="0.3"/>
    <row r="582" s="7" customFormat="1" ht="14.25" customHeight="1" x14ac:dyDescent="0.3"/>
    <row r="583" s="7" customFormat="1" ht="14.25" customHeight="1" x14ac:dyDescent="0.3"/>
    <row r="584" s="7" customFormat="1" ht="14.25" customHeight="1" x14ac:dyDescent="0.3"/>
    <row r="585" s="7" customFormat="1" ht="14.25" customHeight="1" x14ac:dyDescent="0.3"/>
    <row r="586" s="7" customFormat="1" ht="14.25" customHeight="1" x14ac:dyDescent="0.3"/>
    <row r="587" s="7" customFormat="1" ht="14.25" customHeight="1" x14ac:dyDescent="0.3"/>
    <row r="588" s="7" customFormat="1" ht="14.25" customHeight="1" x14ac:dyDescent="0.3"/>
    <row r="589" s="7" customFormat="1" ht="14.25" customHeight="1" x14ac:dyDescent="0.3"/>
    <row r="590" s="7" customFormat="1" ht="14.25" customHeight="1" x14ac:dyDescent="0.3"/>
    <row r="591" s="7" customFormat="1" ht="14.25" customHeight="1" x14ac:dyDescent="0.3"/>
    <row r="592" s="7" customFormat="1" ht="14.25" customHeight="1" x14ac:dyDescent="0.3"/>
    <row r="593" s="7" customFormat="1" ht="14.25" customHeight="1" x14ac:dyDescent="0.3"/>
    <row r="594" s="7" customFormat="1" ht="14.25" customHeight="1" x14ac:dyDescent="0.3"/>
    <row r="595" s="7" customFormat="1" ht="14.25" customHeight="1" x14ac:dyDescent="0.3"/>
    <row r="596" s="7" customFormat="1" ht="14.25" customHeight="1" x14ac:dyDescent="0.3"/>
    <row r="597" s="7" customFormat="1" ht="14.25" customHeight="1" x14ac:dyDescent="0.3"/>
    <row r="598" s="7" customFormat="1" ht="14.25" customHeight="1" x14ac:dyDescent="0.3"/>
    <row r="599" s="7" customFormat="1" ht="14.25" customHeight="1" x14ac:dyDescent="0.3"/>
    <row r="600" s="7" customFormat="1" ht="14.25" customHeight="1" x14ac:dyDescent="0.3"/>
    <row r="601" s="7" customFormat="1" ht="14.25" customHeight="1" x14ac:dyDescent="0.3"/>
    <row r="602" s="7" customFormat="1" ht="14.25" customHeight="1" x14ac:dyDescent="0.3"/>
    <row r="603" s="7" customFormat="1" ht="14.25" customHeight="1" x14ac:dyDescent="0.3"/>
    <row r="604" s="7" customFormat="1" ht="14.25" customHeight="1" x14ac:dyDescent="0.3"/>
    <row r="605" s="7" customFormat="1" ht="14.25" customHeight="1" x14ac:dyDescent="0.3"/>
    <row r="606" s="7" customFormat="1" ht="14.25" customHeight="1" x14ac:dyDescent="0.3"/>
    <row r="607" s="7" customFormat="1" ht="14.25" customHeight="1" x14ac:dyDescent="0.3"/>
    <row r="608" s="7" customFormat="1" ht="14.25" customHeight="1" x14ac:dyDescent="0.3"/>
    <row r="609" s="7" customFormat="1" ht="14.25" customHeight="1" x14ac:dyDescent="0.3"/>
    <row r="610" s="7" customFormat="1" ht="14.25" customHeight="1" x14ac:dyDescent="0.3"/>
    <row r="611" s="7" customFormat="1" ht="14.25" customHeight="1" x14ac:dyDescent="0.3"/>
    <row r="612" s="7" customFormat="1" ht="14.25" customHeight="1" x14ac:dyDescent="0.3"/>
    <row r="613" s="7" customFormat="1" ht="14.25" customHeight="1" x14ac:dyDescent="0.3"/>
    <row r="614" s="7" customFormat="1" ht="14.25" customHeight="1" x14ac:dyDescent="0.3"/>
    <row r="615" s="7" customFormat="1" ht="14.25" customHeight="1" x14ac:dyDescent="0.3"/>
    <row r="616" s="7" customFormat="1" ht="14.25" customHeight="1" x14ac:dyDescent="0.3"/>
    <row r="617" s="7" customFormat="1" ht="14.25" customHeight="1" x14ac:dyDescent="0.3"/>
    <row r="618" s="7" customFormat="1" ht="14.25" customHeight="1" x14ac:dyDescent="0.3"/>
    <row r="619" s="7" customFormat="1" ht="14.25" customHeight="1" x14ac:dyDescent="0.3"/>
    <row r="620" s="7" customFormat="1" ht="14.25" customHeight="1" x14ac:dyDescent="0.3"/>
    <row r="621" s="7" customFormat="1" ht="14.25" customHeight="1" x14ac:dyDescent="0.3"/>
    <row r="622" s="7" customFormat="1" ht="14.25" customHeight="1" x14ac:dyDescent="0.3"/>
    <row r="623" s="7" customFormat="1" ht="14.25" customHeight="1" x14ac:dyDescent="0.3"/>
    <row r="624" s="7" customFormat="1" ht="14.25" customHeight="1" x14ac:dyDescent="0.3"/>
    <row r="625" s="7" customFormat="1" ht="14.25" customHeight="1" x14ac:dyDescent="0.3"/>
    <row r="626" s="7" customFormat="1" ht="14.25" customHeight="1" x14ac:dyDescent="0.3"/>
    <row r="627" s="7" customFormat="1" ht="14.25" customHeight="1" x14ac:dyDescent="0.3"/>
    <row r="628" s="7" customFormat="1" ht="14.25" customHeight="1" x14ac:dyDescent="0.3"/>
    <row r="629" s="7" customFormat="1" ht="14.25" customHeight="1" x14ac:dyDescent="0.3"/>
    <row r="630" s="7" customFormat="1" ht="14.25" customHeight="1" x14ac:dyDescent="0.3"/>
    <row r="631" s="7" customFormat="1" ht="14.25" customHeight="1" x14ac:dyDescent="0.3"/>
    <row r="632" s="7" customFormat="1" ht="14.25" customHeight="1" x14ac:dyDescent="0.3"/>
    <row r="633" s="7" customFormat="1" ht="14.25" customHeight="1" x14ac:dyDescent="0.3"/>
    <row r="634" s="7" customFormat="1" ht="14.25" customHeight="1" x14ac:dyDescent="0.3"/>
    <row r="635" s="7" customFormat="1" ht="14.25" customHeight="1" x14ac:dyDescent="0.3"/>
    <row r="636" s="7" customFormat="1" ht="14.25" customHeight="1" x14ac:dyDescent="0.3"/>
    <row r="637" s="7" customFormat="1" ht="14.25" customHeight="1" x14ac:dyDescent="0.3"/>
    <row r="638" s="7" customFormat="1" ht="14.25" customHeight="1" x14ac:dyDescent="0.3"/>
    <row r="639" s="7" customFormat="1" ht="14.25" customHeight="1" x14ac:dyDescent="0.3"/>
    <row r="640" s="7" customFormat="1" ht="14.25" customHeight="1" x14ac:dyDescent="0.3"/>
    <row r="641" s="7" customFormat="1" ht="14.25" customHeight="1" x14ac:dyDescent="0.3"/>
    <row r="642" s="7" customFormat="1" ht="14.25" customHeight="1" x14ac:dyDescent="0.3"/>
    <row r="643" s="7" customFormat="1" ht="14.25" customHeight="1" x14ac:dyDescent="0.3"/>
    <row r="644" s="7" customFormat="1" ht="14.25" customHeight="1" x14ac:dyDescent="0.3"/>
    <row r="645" s="7" customFormat="1" ht="14.25" customHeight="1" x14ac:dyDescent="0.3"/>
    <row r="646" s="7" customFormat="1" ht="14.25" customHeight="1" x14ac:dyDescent="0.3"/>
    <row r="647" s="7" customFormat="1" ht="14.25" customHeight="1" x14ac:dyDescent="0.3"/>
    <row r="648" s="7" customFormat="1" ht="14.25" customHeight="1" x14ac:dyDescent="0.3"/>
    <row r="649" s="7" customFormat="1" ht="14.25" customHeight="1" x14ac:dyDescent="0.3"/>
    <row r="650" s="7" customFormat="1" ht="14.25" customHeight="1" x14ac:dyDescent="0.3"/>
    <row r="651" s="7" customFormat="1" ht="14.25" customHeight="1" x14ac:dyDescent="0.3"/>
    <row r="652" s="7" customFormat="1" ht="14.25" customHeight="1" x14ac:dyDescent="0.3"/>
    <row r="653" s="7" customFormat="1" ht="14.25" customHeight="1" x14ac:dyDescent="0.3"/>
    <row r="654" s="7" customFormat="1" ht="14.25" customHeight="1" x14ac:dyDescent="0.3"/>
    <row r="655" s="7" customFormat="1" ht="14.25" customHeight="1" x14ac:dyDescent="0.3"/>
    <row r="656" s="7" customFormat="1" ht="14.25" customHeight="1" x14ac:dyDescent="0.3"/>
    <row r="657" s="7" customFormat="1" ht="14.25" customHeight="1" x14ac:dyDescent="0.3"/>
    <row r="658" s="7" customFormat="1" ht="14.25" customHeight="1" x14ac:dyDescent="0.3"/>
    <row r="659" s="7" customFormat="1" ht="14.25" customHeight="1" x14ac:dyDescent="0.3"/>
    <row r="660" s="7" customFormat="1" ht="14.25" customHeight="1" x14ac:dyDescent="0.3"/>
    <row r="661" s="7" customFormat="1" ht="14.25" customHeight="1" x14ac:dyDescent="0.3"/>
    <row r="662" s="7" customFormat="1" ht="14.25" customHeight="1" x14ac:dyDescent="0.3"/>
    <row r="663" s="7" customFormat="1" ht="14.25" customHeight="1" x14ac:dyDescent="0.3"/>
    <row r="664" s="7" customFormat="1" ht="14.25" customHeight="1" x14ac:dyDescent="0.3"/>
    <row r="665" s="7" customFormat="1" ht="14.25" customHeight="1" x14ac:dyDescent="0.3"/>
    <row r="666" s="7" customFormat="1" ht="14.25" customHeight="1" x14ac:dyDescent="0.3"/>
    <row r="667" s="7" customFormat="1" ht="14.25" customHeight="1" x14ac:dyDescent="0.3"/>
    <row r="668" s="7" customFormat="1" ht="14.25" customHeight="1" x14ac:dyDescent="0.3"/>
    <row r="669" s="7" customFormat="1" ht="14.25" customHeight="1" x14ac:dyDescent="0.3"/>
    <row r="670" s="7" customFormat="1" ht="14.25" customHeight="1" x14ac:dyDescent="0.3"/>
    <row r="671" s="7" customFormat="1" ht="14.25" customHeight="1" x14ac:dyDescent="0.3"/>
    <row r="672" s="7" customFormat="1" ht="14.25" customHeight="1" x14ac:dyDescent="0.3"/>
    <row r="673" s="7" customFormat="1" ht="14.25" customHeight="1" x14ac:dyDescent="0.3"/>
    <row r="674" s="7" customFormat="1" ht="14.25" customHeight="1" x14ac:dyDescent="0.3"/>
    <row r="675" s="7" customFormat="1" ht="14.25" customHeight="1" x14ac:dyDescent="0.3"/>
    <row r="676" s="7" customFormat="1" ht="14.25" customHeight="1" x14ac:dyDescent="0.3"/>
    <row r="677" s="7" customFormat="1" ht="14.25" customHeight="1" x14ac:dyDescent="0.3"/>
    <row r="678" s="7" customFormat="1" ht="14.25" customHeight="1" x14ac:dyDescent="0.3"/>
    <row r="679" s="7" customFormat="1" ht="14.25" customHeight="1" x14ac:dyDescent="0.3"/>
    <row r="680" s="7" customFormat="1" ht="14.25" customHeight="1" x14ac:dyDescent="0.3"/>
    <row r="681" s="7" customFormat="1" ht="14.25" customHeight="1" x14ac:dyDescent="0.3"/>
    <row r="682" s="7" customFormat="1" ht="14.25" customHeight="1" x14ac:dyDescent="0.3"/>
    <row r="683" s="7" customFormat="1" ht="14.25" customHeight="1" x14ac:dyDescent="0.3"/>
    <row r="684" s="7" customFormat="1" ht="14.25" customHeight="1" x14ac:dyDescent="0.3"/>
    <row r="685" s="7" customFormat="1" ht="14.25" customHeight="1" x14ac:dyDescent="0.3"/>
    <row r="686" s="7" customFormat="1" ht="14.25" customHeight="1" x14ac:dyDescent="0.3"/>
    <row r="687" s="7" customFormat="1" ht="14.25" customHeight="1" x14ac:dyDescent="0.3"/>
    <row r="688" s="7" customFormat="1" ht="14.25" customHeight="1" x14ac:dyDescent="0.3"/>
    <row r="689" s="7" customFormat="1" ht="14.25" customHeight="1" x14ac:dyDescent="0.3"/>
    <row r="690" s="7" customFormat="1" ht="14.25" customHeight="1" x14ac:dyDescent="0.3"/>
    <row r="691" s="7" customFormat="1" ht="14.25" customHeight="1" x14ac:dyDescent="0.3"/>
    <row r="692" s="7" customFormat="1" ht="14.25" customHeight="1" x14ac:dyDescent="0.3"/>
    <row r="693" s="7" customFormat="1" ht="14.25" customHeight="1" x14ac:dyDescent="0.3"/>
    <row r="694" s="7" customFormat="1" ht="14.25" customHeight="1" x14ac:dyDescent="0.3"/>
    <row r="695" s="7" customFormat="1" ht="14.25" customHeight="1" x14ac:dyDescent="0.3"/>
    <row r="696" s="7" customFormat="1" ht="14.25" customHeight="1" x14ac:dyDescent="0.3"/>
    <row r="697" s="7" customFormat="1" ht="14.25" customHeight="1" x14ac:dyDescent="0.3"/>
    <row r="698" s="7" customFormat="1" ht="14.25" customHeight="1" x14ac:dyDescent="0.3"/>
    <row r="699" s="7" customFormat="1" ht="14.25" customHeight="1" x14ac:dyDescent="0.3"/>
    <row r="700" s="7" customFormat="1" ht="14.25" customHeight="1" x14ac:dyDescent="0.3"/>
    <row r="701" s="7" customFormat="1" ht="14.25" customHeight="1" x14ac:dyDescent="0.3"/>
    <row r="702" s="7" customFormat="1" ht="14.25" customHeight="1" x14ac:dyDescent="0.3"/>
    <row r="703" s="7" customFormat="1" ht="14.25" customHeight="1" x14ac:dyDescent="0.3"/>
    <row r="704" s="7" customFormat="1" ht="14.25" customHeight="1" x14ac:dyDescent="0.3"/>
    <row r="705" s="7" customFormat="1" ht="14.25" customHeight="1" x14ac:dyDescent="0.3"/>
    <row r="706" s="7" customFormat="1" ht="14.25" customHeight="1" x14ac:dyDescent="0.3"/>
    <row r="707" s="7" customFormat="1" ht="14.25" customHeight="1" x14ac:dyDescent="0.3"/>
    <row r="708" s="7" customFormat="1" ht="14.25" customHeight="1" x14ac:dyDescent="0.3"/>
    <row r="709" s="7" customFormat="1" ht="14.25" customHeight="1" x14ac:dyDescent="0.3"/>
    <row r="710" s="7" customFormat="1" ht="14.25" customHeight="1" x14ac:dyDescent="0.3"/>
    <row r="711" s="7" customFormat="1" ht="14.25" customHeight="1" x14ac:dyDescent="0.3"/>
    <row r="712" s="7" customFormat="1" ht="14.25" customHeight="1" x14ac:dyDescent="0.3"/>
    <row r="713" s="7" customFormat="1" ht="14.25" customHeight="1" x14ac:dyDescent="0.3"/>
    <row r="714" s="7" customFormat="1" ht="14.25" customHeight="1" x14ac:dyDescent="0.3"/>
    <row r="715" s="7" customFormat="1" ht="14.25" customHeight="1" x14ac:dyDescent="0.3"/>
    <row r="716" s="7" customFormat="1" ht="14.25" customHeight="1" x14ac:dyDescent="0.3"/>
    <row r="717" s="7" customFormat="1" ht="14.25" customHeight="1" x14ac:dyDescent="0.3"/>
    <row r="718" s="7" customFormat="1" ht="14.25" customHeight="1" x14ac:dyDescent="0.3"/>
    <row r="719" s="7" customFormat="1" ht="14.25" customHeight="1" x14ac:dyDescent="0.3"/>
    <row r="720" s="7" customFormat="1" ht="14.25" customHeight="1" x14ac:dyDescent="0.3"/>
    <row r="721" s="7" customFormat="1" ht="14.25" customHeight="1" x14ac:dyDescent="0.3"/>
    <row r="722" s="7" customFormat="1" ht="14.25" customHeight="1" x14ac:dyDescent="0.3"/>
    <row r="723" s="7" customFormat="1" ht="14.25" customHeight="1" x14ac:dyDescent="0.3"/>
    <row r="724" s="7" customFormat="1" ht="14.25" customHeight="1" x14ac:dyDescent="0.3"/>
    <row r="725" s="7" customFormat="1" ht="14.25" customHeight="1" x14ac:dyDescent="0.3"/>
    <row r="726" s="7" customFormat="1" ht="14.25" customHeight="1" x14ac:dyDescent="0.3"/>
    <row r="727" s="7" customFormat="1" ht="14.25" customHeight="1" x14ac:dyDescent="0.3"/>
    <row r="728" s="7" customFormat="1" ht="14.25" customHeight="1" x14ac:dyDescent="0.3"/>
    <row r="729" s="7" customFormat="1" ht="14.25" customHeight="1" x14ac:dyDescent="0.3"/>
    <row r="730" s="7" customFormat="1" ht="14.25" customHeight="1" x14ac:dyDescent="0.3"/>
    <row r="731" s="7" customFormat="1" ht="14.25" customHeight="1" x14ac:dyDescent="0.3"/>
    <row r="732" s="7" customFormat="1" ht="14.25" customHeight="1" x14ac:dyDescent="0.3"/>
    <row r="733" s="7" customFormat="1" ht="14.25" customHeight="1" x14ac:dyDescent="0.3"/>
    <row r="734" s="7" customFormat="1" ht="14.25" customHeight="1" x14ac:dyDescent="0.3"/>
    <row r="735" s="7" customFormat="1" ht="14.25" customHeight="1" x14ac:dyDescent="0.3"/>
    <row r="736" s="7" customFormat="1" ht="14.25" customHeight="1" x14ac:dyDescent="0.3"/>
    <row r="737" s="7" customFormat="1" ht="14.25" customHeight="1" x14ac:dyDescent="0.3"/>
    <row r="738" s="7" customFormat="1" ht="14.25" customHeight="1" x14ac:dyDescent="0.3"/>
    <row r="739" s="7" customFormat="1" ht="14.25" customHeight="1" x14ac:dyDescent="0.3"/>
    <row r="740" s="7" customFormat="1" ht="14.25" customHeight="1" x14ac:dyDescent="0.3"/>
    <row r="741" s="7" customFormat="1" ht="14.25" customHeight="1" x14ac:dyDescent="0.3"/>
    <row r="742" s="7" customFormat="1" ht="14.25" customHeight="1" x14ac:dyDescent="0.3"/>
    <row r="743" s="7" customFormat="1" ht="14.25" customHeight="1" x14ac:dyDescent="0.3"/>
    <row r="744" s="7" customFormat="1" ht="14.25" customHeight="1" x14ac:dyDescent="0.3"/>
    <row r="745" s="7" customFormat="1" ht="14.25" customHeight="1" x14ac:dyDescent="0.3"/>
    <row r="746" s="7" customFormat="1" ht="14.25" customHeight="1" x14ac:dyDescent="0.3"/>
    <row r="747" s="7" customFormat="1" ht="14.25" customHeight="1" x14ac:dyDescent="0.3"/>
    <row r="748" s="7" customFormat="1" ht="14.25" customHeight="1" x14ac:dyDescent="0.3"/>
    <row r="749" s="7" customFormat="1" ht="14.25" customHeight="1" x14ac:dyDescent="0.3"/>
    <row r="750" s="7" customFormat="1" ht="14.25" customHeight="1" x14ac:dyDescent="0.3"/>
    <row r="751" s="7" customFormat="1" ht="14.25" customHeight="1" x14ac:dyDescent="0.3"/>
    <row r="752" s="7" customFormat="1" ht="14.25" customHeight="1" x14ac:dyDescent="0.3"/>
    <row r="753" s="7" customFormat="1" ht="14.25" customHeight="1" x14ac:dyDescent="0.3"/>
    <row r="754" s="7" customFormat="1" ht="14.25" customHeight="1" x14ac:dyDescent="0.3"/>
    <row r="755" s="7" customFormat="1" ht="14.25" customHeight="1" x14ac:dyDescent="0.3"/>
    <row r="756" s="7" customFormat="1" ht="14.25" customHeight="1" x14ac:dyDescent="0.3"/>
    <row r="757" s="7" customFormat="1" ht="14.25" customHeight="1" x14ac:dyDescent="0.3"/>
    <row r="758" s="7" customFormat="1" ht="14.25" customHeight="1" x14ac:dyDescent="0.3"/>
    <row r="759" s="7" customFormat="1" ht="14.25" customHeight="1" x14ac:dyDescent="0.3"/>
    <row r="760" s="7" customFormat="1" ht="14.25" customHeight="1" x14ac:dyDescent="0.3"/>
    <row r="761" s="7" customFormat="1" ht="14.25" customHeight="1" x14ac:dyDescent="0.3"/>
    <row r="762" s="7" customFormat="1" ht="14.25" customHeight="1" x14ac:dyDescent="0.3"/>
    <row r="763" s="7" customFormat="1" ht="14.25" customHeight="1" x14ac:dyDescent="0.3"/>
    <row r="764" s="7" customFormat="1" ht="14.25" customHeight="1" x14ac:dyDescent="0.3"/>
    <row r="765" s="7" customFormat="1" ht="14.25" customHeight="1" x14ac:dyDescent="0.3"/>
    <row r="766" s="7" customFormat="1" ht="14.25" customHeight="1" x14ac:dyDescent="0.3"/>
    <row r="767" s="7" customFormat="1" ht="14.25" customHeight="1" x14ac:dyDescent="0.3"/>
    <row r="768" s="7" customFormat="1" ht="14.25" customHeight="1" x14ac:dyDescent="0.3"/>
    <row r="769" s="7" customFormat="1" ht="14.25" customHeight="1" x14ac:dyDescent="0.3"/>
    <row r="770" s="7" customFormat="1" ht="14.25" customHeight="1" x14ac:dyDescent="0.3"/>
    <row r="771" s="7" customFormat="1" ht="14.25" customHeight="1" x14ac:dyDescent="0.3"/>
    <row r="772" s="7" customFormat="1" ht="14.25" customHeight="1" x14ac:dyDescent="0.3"/>
    <row r="773" s="7" customFormat="1" ht="14.25" customHeight="1" x14ac:dyDescent="0.3"/>
    <row r="774" s="7" customFormat="1" ht="14.25" customHeight="1" x14ac:dyDescent="0.3"/>
    <row r="775" s="7" customFormat="1" ht="14.25" customHeight="1" x14ac:dyDescent="0.3"/>
    <row r="776" s="7" customFormat="1" ht="14.25" customHeight="1" x14ac:dyDescent="0.3"/>
    <row r="777" s="7" customFormat="1" ht="14.25" customHeight="1" x14ac:dyDescent="0.3"/>
    <row r="778" s="7" customFormat="1" ht="14.25" customHeight="1" x14ac:dyDescent="0.3"/>
    <row r="779" s="7" customFormat="1" ht="14.25" customHeight="1" x14ac:dyDescent="0.3"/>
    <row r="780" s="7" customFormat="1" ht="14.25" customHeight="1" x14ac:dyDescent="0.3"/>
    <row r="781" s="7" customFormat="1" ht="14.25" customHeight="1" x14ac:dyDescent="0.3"/>
    <row r="782" s="7" customFormat="1" ht="14.25" customHeight="1" x14ac:dyDescent="0.3"/>
    <row r="783" s="7" customFormat="1" ht="14.25" customHeight="1" x14ac:dyDescent="0.3"/>
    <row r="784" s="7" customFormat="1" ht="14.25" customHeight="1" x14ac:dyDescent="0.3"/>
    <row r="785" s="7" customFormat="1" ht="14.25" customHeight="1" x14ac:dyDescent="0.3"/>
    <row r="786" s="7" customFormat="1" ht="14.25" customHeight="1" x14ac:dyDescent="0.3"/>
    <row r="787" s="7" customFormat="1" ht="14.25" customHeight="1" x14ac:dyDescent="0.3"/>
    <row r="788" s="7" customFormat="1" ht="14.25" customHeight="1" x14ac:dyDescent="0.3"/>
    <row r="789" s="7" customFormat="1" ht="14.25" customHeight="1" x14ac:dyDescent="0.3"/>
    <row r="790" s="7" customFormat="1" ht="14.25" customHeight="1" x14ac:dyDescent="0.3"/>
    <row r="791" s="7" customFormat="1" ht="14.25" customHeight="1" x14ac:dyDescent="0.3"/>
    <row r="792" s="7" customFormat="1" ht="14.25" customHeight="1" x14ac:dyDescent="0.3"/>
    <row r="793" s="7" customFormat="1" ht="14.25" customHeight="1" x14ac:dyDescent="0.3"/>
    <row r="794" s="7" customFormat="1" ht="14.25" customHeight="1" x14ac:dyDescent="0.3"/>
    <row r="795" s="7" customFormat="1" ht="14.25" customHeight="1" x14ac:dyDescent="0.3"/>
    <row r="796" s="7" customFormat="1" ht="14.25" customHeight="1" x14ac:dyDescent="0.3"/>
    <row r="797" s="7" customFormat="1" ht="14.25" customHeight="1" x14ac:dyDescent="0.3"/>
    <row r="798" s="7" customFormat="1" ht="14.25" customHeight="1" x14ac:dyDescent="0.3"/>
    <row r="799" s="7" customFormat="1" ht="14.25" customHeight="1" x14ac:dyDescent="0.3"/>
    <row r="800" s="7" customFormat="1" ht="14.25" customHeight="1" x14ac:dyDescent="0.3"/>
    <row r="801" s="7" customFormat="1" ht="14.25" customHeight="1" x14ac:dyDescent="0.3"/>
    <row r="802" s="7" customFormat="1" ht="14.25" customHeight="1" x14ac:dyDescent="0.3"/>
    <row r="803" s="7" customFormat="1" ht="14.25" customHeight="1" x14ac:dyDescent="0.3"/>
    <row r="804" s="7" customFormat="1" ht="14.25" customHeight="1" x14ac:dyDescent="0.3"/>
    <row r="805" s="7" customFormat="1" ht="14.25" customHeight="1" x14ac:dyDescent="0.3"/>
    <row r="806" s="7" customFormat="1" ht="14.25" customHeight="1" x14ac:dyDescent="0.3"/>
    <row r="807" s="7" customFormat="1" ht="14.25" customHeight="1" x14ac:dyDescent="0.3"/>
    <row r="808" s="7" customFormat="1" ht="14.25" customHeight="1" x14ac:dyDescent="0.3"/>
    <row r="809" s="7" customFormat="1" ht="14.25" customHeight="1" x14ac:dyDescent="0.3"/>
    <row r="810" s="7" customFormat="1" ht="14.25" customHeight="1" x14ac:dyDescent="0.3"/>
    <row r="811" s="7" customFormat="1" ht="14.25" customHeight="1" x14ac:dyDescent="0.3"/>
    <row r="812" s="7" customFormat="1" ht="14.25" customHeight="1" x14ac:dyDescent="0.3"/>
    <row r="813" s="7" customFormat="1" ht="14.25" customHeight="1" x14ac:dyDescent="0.3"/>
    <row r="814" s="7" customFormat="1" ht="14.25" customHeight="1" x14ac:dyDescent="0.3"/>
    <row r="815" s="7" customFormat="1" ht="14.25" customHeight="1" x14ac:dyDescent="0.3"/>
    <row r="816" s="7" customFormat="1" ht="14.25" customHeight="1" x14ac:dyDescent="0.3"/>
    <row r="817" s="7" customFormat="1" ht="14.25" customHeight="1" x14ac:dyDescent="0.3"/>
    <row r="818" s="7" customFormat="1" ht="14.25" customHeight="1" x14ac:dyDescent="0.3"/>
    <row r="819" s="7" customFormat="1" ht="14.25" customHeight="1" x14ac:dyDescent="0.3"/>
    <row r="820" s="7" customFormat="1" ht="14.25" customHeight="1" x14ac:dyDescent="0.3"/>
    <row r="821" s="7" customFormat="1" ht="14.25" customHeight="1" x14ac:dyDescent="0.3"/>
    <row r="822" s="7" customFormat="1" ht="14.25" customHeight="1" x14ac:dyDescent="0.3"/>
    <row r="823" s="7" customFormat="1" ht="14.25" customHeight="1" x14ac:dyDescent="0.3"/>
    <row r="824" s="7" customFormat="1" ht="14.25" customHeight="1" x14ac:dyDescent="0.3"/>
    <row r="825" s="7" customFormat="1" ht="14.25" customHeight="1" x14ac:dyDescent="0.3"/>
    <row r="826" s="7" customFormat="1" ht="14.25" customHeight="1" x14ac:dyDescent="0.3"/>
    <row r="827" s="7" customFormat="1" ht="14.25" customHeight="1" x14ac:dyDescent="0.3"/>
    <row r="828" s="7" customFormat="1" ht="14.25" customHeight="1" x14ac:dyDescent="0.3"/>
    <row r="829" s="7" customFormat="1" ht="14.25" customHeight="1" x14ac:dyDescent="0.3"/>
    <row r="830" s="7" customFormat="1" ht="14.25" customHeight="1" x14ac:dyDescent="0.3"/>
    <row r="831" s="7" customFormat="1" ht="14.25" customHeight="1" x14ac:dyDescent="0.3"/>
    <row r="832" s="7" customFormat="1" ht="14.25" customHeight="1" x14ac:dyDescent="0.3"/>
    <row r="833" s="7" customFormat="1" ht="14.25" customHeight="1" x14ac:dyDescent="0.3"/>
    <row r="834" s="7" customFormat="1" ht="14.25" customHeight="1" x14ac:dyDescent="0.3"/>
    <row r="835" s="7" customFormat="1" ht="14.25" customHeight="1" x14ac:dyDescent="0.3"/>
    <row r="836" s="7" customFormat="1" ht="14.25" customHeight="1" x14ac:dyDescent="0.3"/>
    <row r="837" s="7" customFormat="1" ht="14.25" customHeight="1" x14ac:dyDescent="0.3"/>
    <row r="838" s="7" customFormat="1" ht="14.25" customHeight="1" x14ac:dyDescent="0.3"/>
    <row r="839" s="7" customFormat="1" ht="14.25" customHeight="1" x14ac:dyDescent="0.3"/>
    <row r="840" s="7" customFormat="1" ht="14.25" customHeight="1" x14ac:dyDescent="0.3"/>
    <row r="841" s="7" customFormat="1" ht="14.25" customHeight="1" x14ac:dyDescent="0.3"/>
    <row r="842" s="7" customFormat="1" ht="14.25" customHeight="1" x14ac:dyDescent="0.3"/>
    <row r="843" s="7" customFormat="1" ht="14.25" customHeight="1" x14ac:dyDescent="0.3"/>
    <row r="844" s="7" customFormat="1" ht="14.25" customHeight="1" x14ac:dyDescent="0.3"/>
    <row r="845" s="7" customFormat="1" ht="14.25" customHeight="1" x14ac:dyDescent="0.3"/>
    <row r="846" s="7" customFormat="1" ht="14.25" customHeight="1" x14ac:dyDescent="0.3"/>
    <row r="847" s="7" customFormat="1" ht="14.25" customHeight="1" x14ac:dyDescent="0.3"/>
    <row r="848" s="7" customFormat="1" ht="14.25" customHeight="1" x14ac:dyDescent="0.3"/>
    <row r="849" s="7" customFormat="1" ht="14.25" customHeight="1" x14ac:dyDescent="0.3"/>
    <row r="850" s="7" customFormat="1" ht="14.25" customHeight="1" x14ac:dyDescent="0.3"/>
    <row r="851" s="7" customFormat="1" ht="14.25" customHeight="1" x14ac:dyDescent="0.3"/>
    <row r="852" s="7" customFormat="1" ht="14.25" customHeight="1" x14ac:dyDescent="0.3"/>
    <row r="853" s="7" customFormat="1" ht="14.25" customHeight="1" x14ac:dyDescent="0.3"/>
    <row r="854" s="7" customFormat="1" ht="14.25" customHeight="1" x14ac:dyDescent="0.3"/>
    <row r="855" s="7" customFormat="1" ht="14.25" customHeight="1" x14ac:dyDescent="0.3"/>
    <row r="856" s="7" customFormat="1" ht="14.25" customHeight="1" x14ac:dyDescent="0.3"/>
    <row r="857" s="7" customFormat="1" ht="14.25" customHeight="1" x14ac:dyDescent="0.3"/>
    <row r="858" s="7" customFormat="1" ht="14.25" customHeight="1" x14ac:dyDescent="0.3"/>
    <row r="859" s="7" customFormat="1" ht="14.25" customHeight="1" x14ac:dyDescent="0.3"/>
    <row r="860" s="7" customFormat="1" ht="14.25" customHeight="1" x14ac:dyDescent="0.3"/>
    <row r="861" s="7" customFormat="1" ht="14.25" customHeight="1" x14ac:dyDescent="0.3"/>
    <row r="862" s="7" customFormat="1" ht="14.25" customHeight="1" x14ac:dyDescent="0.3"/>
    <row r="863" s="7" customFormat="1" ht="14.25" customHeight="1" x14ac:dyDescent="0.3"/>
    <row r="864" s="7" customFormat="1" ht="14.25" customHeight="1" x14ac:dyDescent="0.3"/>
    <row r="865" s="7" customFormat="1" ht="14.25" customHeight="1" x14ac:dyDescent="0.3"/>
    <row r="866" s="7" customFormat="1" ht="14.25" customHeight="1" x14ac:dyDescent="0.3"/>
    <row r="867" s="7" customFormat="1" ht="14.25" customHeight="1" x14ac:dyDescent="0.3"/>
    <row r="868" s="7" customFormat="1" ht="14.25" customHeight="1" x14ac:dyDescent="0.3"/>
    <row r="869" s="7" customFormat="1" ht="14.25" customHeight="1" x14ac:dyDescent="0.3"/>
    <row r="870" s="7" customFormat="1" ht="14.25" customHeight="1" x14ac:dyDescent="0.3"/>
    <row r="871" s="7" customFormat="1" ht="14.25" customHeight="1" x14ac:dyDescent="0.3"/>
    <row r="872" s="7" customFormat="1" ht="14.25" customHeight="1" x14ac:dyDescent="0.3"/>
    <row r="873" s="7" customFormat="1" ht="14.25" customHeight="1" x14ac:dyDescent="0.3"/>
    <row r="874" s="7" customFormat="1" ht="14.25" customHeight="1" x14ac:dyDescent="0.3"/>
    <row r="875" s="7" customFormat="1" ht="14.25" customHeight="1" x14ac:dyDescent="0.3"/>
    <row r="876" s="7" customFormat="1" ht="14.25" customHeight="1" x14ac:dyDescent="0.3"/>
    <row r="877" s="7" customFormat="1" ht="14.25" customHeight="1" x14ac:dyDescent="0.3"/>
    <row r="878" s="7" customFormat="1" ht="14.25" customHeight="1" x14ac:dyDescent="0.3"/>
    <row r="879" s="7" customFormat="1" ht="14.25" customHeight="1" x14ac:dyDescent="0.3"/>
    <row r="880" s="7" customFormat="1" ht="14.25" customHeight="1" x14ac:dyDescent="0.3"/>
    <row r="881" s="7" customFormat="1" ht="14.25" customHeight="1" x14ac:dyDescent="0.3"/>
    <row r="882" s="7" customFormat="1" ht="14.25" customHeight="1" x14ac:dyDescent="0.3"/>
    <row r="883" s="7" customFormat="1" ht="14.25" customHeight="1" x14ac:dyDescent="0.3"/>
    <row r="884" s="7" customFormat="1" ht="14.25" customHeight="1" x14ac:dyDescent="0.3"/>
    <row r="885" s="7" customFormat="1" ht="14.25" customHeight="1" x14ac:dyDescent="0.3"/>
    <row r="886" s="7" customFormat="1" ht="14.25" customHeight="1" x14ac:dyDescent="0.3"/>
    <row r="887" s="7" customFormat="1" ht="14.25" customHeight="1" x14ac:dyDescent="0.3"/>
    <row r="888" s="7" customFormat="1" ht="14.25" customHeight="1" x14ac:dyDescent="0.3"/>
    <row r="889" s="7" customFormat="1" ht="14.25" customHeight="1" x14ac:dyDescent="0.3"/>
    <row r="890" s="7" customFormat="1" ht="14.25" customHeight="1" x14ac:dyDescent="0.3"/>
    <row r="891" s="7" customFormat="1" ht="14.25" customHeight="1" x14ac:dyDescent="0.3"/>
    <row r="892" s="7" customFormat="1" ht="14.25" customHeight="1" x14ac:dyDescent="0.3"/>
    <row r="893" s="7" customFormat="1" ht="14.25" customHeight="1" x14ac:dyDescent="0.3"/>
    <row r="894" s="7" customFormat="1" ht="14.25" customHeight="1" x14ac:dyDescent="0.3"/>
    <row r="895" s="7" customFormat="1" ht="14.25" customHeight="1" x14ac:dyDescent="0.3"/>
    <row r="896" s="7" customFormat="1" ht="14.25" customHeight="1" x14ac:dyDescent="0.3"/>
    <row r="897" s="7" customFormat="1" ht="14.25" customHeight="1" x14ac:dyDescent="0.3"/>
    <row r="898" s="7" customFormat="1" ht="14.25" customHeight="1" x14ac:dyDescent="0.3"/>
    <row r="899" s="7" customFormat="1" ht="14.25" customHeight="1" x14ac:dyDescent="0.3"/>
    <row r="900" s="7" customFormat="1" ht="14.25" customHeight="1" x14ac:dyDescent="0.3"/>
    <row r="901" s="7" customFormat="1" ht="14.25" customHeight="1" x14ac:dyDescent="0.3"/>
    <row r="902" s="7" customFormat="1" ht="14.25" customHeight="1" x14ac:dyDescent="0.3"/>
    <row r="903" s="7" customFormat="1" ht="14.25" customHeight="1" x14ac:dyDescent="0.3"/>
    <row r="904" s="7" customFormat="1" ht="14.25" customHeight="1" x14ac:dyDescent="0.3"/>
    <row r="905" s="7" customFormat="1" ht="14.25" customHeight="1" x14ac:dyDescent="0.3"/>
    <row r="906" s="7" customFormat="1" ht="14.25" customHeight="1" x14ac:dyDescent="0.3"/>
    <row r="907" s="7" customFormat="1" ht="14.25" customHeight="1" x14ac:dyDescent="0.3"/>
    <row r="908" s="7" customFormat="1" ht="14.25" customHeight="1" x14ac:dyDescent="0.3"/>
    <row r="909" s="7" customFormat="1" ht="14.25" customHeight="1" x14ac:dyDescent="0.3"/>
    <row r="910" s="7" customFormat="1" ht="14.25" customHeight="1" x14ac:dyDescent="0.3"/>
    <row r="911" s="7" customFormat="1" ht="14.25" customHeight="1" x14ac:dyDescent="0.3"/>
    <row r="912" s="7" customFormat="1" ht="14.25" customHeight="1" x14ac:dyDescent="0.3"/>
    <row r="913" s="7" customFormat="1" ht="14.25" customHeight="1" x14ac:dyDescent="0.3"/>
    <row r="914" s="7" customFormat="1" ht="14.25" customHeight="1" x14ac:dyDescent="0.3"/>
    <row r="915" s="7" customFormat="1" ht="14.25" customHeight="1" x14ac:dyDescent="0.3"/>
    <row r="916" s="7" customFormat="1" ht="14.25" customHeight="1" x14ac:dyDescent="0.3"/>
    <row r="917" s="7" customFormat="1" ht="14.25" customHeight="1" x14ac:dyDescent="0.3"/>
    <row r="918" s="7" customFormat="1" ht="14.25" customHeight="1" x14ac:dyDescent="0.3"/>
    <row r="919" s="7" customFormat="1" ht="14.25" customHeight="1" x14ac:dyDescent="0.3"/>
    <row r="920" s="7" customFormat="1" ht="14.25" customHeight="1" x14ac:dyDescent="0.3"/>
    <row r="921" s="7" customFormat="1" ht="14.25" customHeight="1" x14ac:dyDescent="0.3"/>
    <row r="922" s="7" customFormat="1" ht="14.25" customHeight="1" x14ac:dyDescent="0.3"/>
    <row r="923" s="7" customFormat="1" ht="14.25" customHeight="1" x14ac:dyDescent="0.3"/>
    <row r="924" s="7" customFormat="1" ht="14.25" customHeight="1" x14ac:dyDescent="0.3"/>
    <row r="925" s="7" customFormat="1" ht="14.25" customHeight="1" x14ac:dyDescent="0.3"/>
    <row r="926" s="7" customFormat="1" ht="14.25" customHeight="1" x14ac:dyDescent="0.3"/>
    <row r="927" s="7" customFormat="1" ht="14.25" customHeight="1" x14ac:dyDescent="0.3"/>
    <row r="928" s="7" customFormat="1" ht="14.25" customHeight="1" x14ac:dyDescent="0.3"/>
    <row r="929" s="7" customFormat="1" ht="14.25" customHeight="1" x14ac:dyDescent="0.3"/>
    <row r="930" s="7" customFormat="1" ht="14.25" customHeight="1" x14ac:dyDescent="0.3"/>
    <row r="931" s="7" customFormat="1" ht="14.25" customHeight="1" x14ac:dyDescent="0.3"/>
    <row r="932" s="7" customFormat="1" ht="14.25" customHeight="1" x14ac:dyDescent="0.3"/>
    <row r="933" s="7" customFormat="1" ht="14.25" customHeight="1" x14ac:dyDescent="0.3"/>
    <row r="934" s="7" customFormat="1" ht="14.25" customHeight="1" x14ac:dyDescent="0.3"/>
    <row r="935" s="7" customFormat="1" ht="14.25" customHeight="1" x14ac:dyDescent="0.3"/>
    <row r="936" s="7" customFormat="1" ht="14.25" customHeight="1" x14ac:dyDescent="0.3"/>
    <row r="937" s="7" customFormat="1" ht="14.25" customHeight="1" x14ac:dyDescent="0.3"/>
    <row r="938" s="7" customFormat="1" ht="14.25" customHeight="1" x14ac:dyDescent="0.3"/>
    <row r="939" s="7" customFormat="1" ht="14.25" customHeight="1" x14ac:dyDescent="0.3"/>
    <row r="940" s="7" customFormat="1" ht="14.25" customHeight="1" x14ac:dyDescent="0.3"/>
    <row r="941" s="7" customFormat="1" ht="14.25" customHeight="1" x14ac:dyDescent="0.3"/>
    <row r="942" s="7" customFormat="1" ht="14.25" customHeight="1" x14ac:dyDescent="0.3"/>
    <row r="943" s="7" customFormat="1" ht="14.25" customHeight="1" x14ac:dyDescent="0.3"/>
    <row r="944" s="7" customFormat="1" ht="14.25" customHeight="1" x14ac:dyDescent="0.3"/>
    <row r="945" s="7" customFormat="1" ht="14.25" customHeight="1" x14ac:dyDescent="0.3"/>
    <row r="946" s="7" customFormat="1" ht="14.25" customHeight="1" x14ac:dyDescent="0.3"/>
    <row r="947" s="7" customFormat="1" ht="14.25" customHeight="1" x14ac:dyDescent="0.3"/>
    <row r="948" s="7" customFormat="1" ht="14.25" customHeight="1" x14ac:dyDescent="0.3"/>
    <row r="949" s="7" customFormat="1" ht="14.25" customHeight="1" x14ac:dyDescent="0.3"/>
    <row r="950" s="7" customFormat="1" ht="14.25" customHeight="1" x14ac:dyDescent="0.3"/>
    <row r="951" s="7" customFormat="1" ht="14.25" customHeight="1" x14ac:dyDescent="0.3"/>
    <row r="952" s="7" customFormat="1" ht="14.25" customHeight="1" x14ac:dyDescent="0.3"/>
    <row r="953" s="7" customFormat="1" ht="14.25" customHeight="1" x14ac:dyDescent="0.3"/>
    <row r="954" s="7" customFormat="1" ht="14.25" customHeight="1" x14ac:dyDescent="0.3"/>
    <row r="955" s="7" customFormat="1" ht="14.25" customHeight="1" x14ac:dyDescent="0.3"/>
    <row r="956" s="7" customFormat="1" ht="14.25" customHeight="1" x14ac:dyDescent="0.3"/>
    <row r="957" s="7" customFormat="1" ht="14.25" customHeight="1" x14ac:dyDescent="0.3"/>
    <row r="958" s="7" customFormat="1" ht="14.25" customHeight="1" x14ac:dyDescent="0.3"/>
    <row r="959" s="7" customFormat="1" ht="14.25" customHeight="1" x14ac:dyDescent="0.3"/>
    <row r="960" s="7" customFormat="1" ht="14.25" customHeight="1" x14ac:dyDescent="0.3"/>
    <row r="961" s="7" customFormat="1" ht="14.25" customHeight="1" x14ac:dyDescent="0.3"/>
    <row r="962" s="7" customFormat="1" ht="14.25" customHeight="1" x14ac:dyDescent="0.3"/>
    <row r="963" s="7" customFormat="1" ht="14.25" customHeight="1" x14ac:dyDescent="0.3"/>
    <row r="964" s="7" customFormat="1" ht="14.25" customHeight="1" x14ac:dyDescent="0.3"/>
    <row r="965" s="7" customFormat="1" ht="14.25" customHeight="1" x14ac:dyDescent="0.3"/>
    <row r="966" s="7" customFormat="1" ht="14.25" customHeight="1" x14ac:dyDescent="0.3"/>
    <row r="967" s="7" customFormat="1" ht="14.25" customHeight="1" x14ac:dyDescent="0.3"/>
    <row r="968" s="7" customFormat="1" ht="14.25" customHeight="1" x14ac:dyDescent="0.3"/>
    <row r="969" s="7" customFormat="1" ht="14.25" customHeight="1" x14ac:dyDescent="0.3"/>
    <row r="970" s="7" customFormat="1" ht="14.25" customHeight="1" x14ac:dyDescent="0.3"/>
    <row r="971" s="7" customFormat="1" ht="14.25" customHeight="1" x14ac:dyDescent="0.3"/>
    <row r="972" s="7" customFormat="1" ht="14.25" customHeight="1" x14ac:dyDescent="0.3"/>
    <row r="973" s="7" customFormat="1" ht="14.25" customHeight="1" x14ac:dyDescent="0.3"/>
    <row r="974" s="7" customFormat="1" ht="14.25" customHeight="1" x14ac:dyDescent="0.3"/>
    <row r="975" s="7" customFormat="1" ht="14.25" customHeight="1" x14ac:dyDescent="0.3"/>
    <row r="976" s="7" customFormat="1" ht="14.25" customHeight="1" x14ac:dyDescent="0.3"/>
    <row r="977" s="7" customFormat="1" ht="14.25" customHeight="1" x14ac:dyDescent="0.3"/>
    <row r="978" s="7" customFormat="1" ht="14.25" customHeight="1" x14ac:dyDescent="0.3"/>
    <row r="979" s="7" customFormat="1" ht="14.25" customHeight="1" x14ac:dyDescent="0.3"/>
    <row r="980" s="7" customFormat="1" ht="14.25" customHeight="1" x14ac:dyDescent="0.3"/>
    <row r="981" s="7" customFormat="1" ht="14.25" customHeight="1" x14ac:dyDescent="0.3"/>
    <row r="982" s="7" customFormat="1" ht="14.25" customHeight="1" x14ac:dyDescent="0.3"/>
    <row r="983" s="7" customFormat="1" ht="14.25" customHeight="1" x14ac:dyDescent="0.3"/>
    <row r="984" s="7" customFormat="1" ht="14.25" customHeight="1" x14ac:dyDescent="0.3"/>
    <row r="985" s="7" customFormat="1" ht="14.25" customHeight="1" x14ac:dyDescent="0.3"/>
    <row r="986" s="7" customFormat="1" ht="14.25" customHeight="1" x14ac:dyDescent="0.3"/>
    <row r="987" s="7" customFormat="1" ht="14.25" customHeight="1" x14ac:dyDescent="0.3"/>
    <row r="988" s="7" customFormat="1" ht="14.25" customHeight="1" x14ac:dyDescent="0.3"/>
    <row r="989" s="7" customFormat="1" ht="14.25" customHeight="1" x14ac:dyDescent="0.3"/>
    <row r="990" s="7" customFormat="1" ht="14.25" customHeight="1" x14ac:dyDescent="0.3"/>
    <row r="991" s="7" customFormat="1" ht="14.25" customHeight="1" x14ac:dyDescent="0.3"/>
    <row r="992" s="7" customFormat="1" ht="14.25" customHeight="1" x14ac:dyDescent="0.3"/>
    <row r="993" s="7" customFormat="1" ht="14.25" customHeight="1" x14ac:dyDescent="0.3"/>
    <row r="994" s="7" customFormat="1" ht="14.25" customHeight="1" x14ac:dyDescent="0.3"/>
    <row r="995" s="7" customFormat="1" ht="14.25" customHeight="1" x14ac:dyDescent="0.3"/>
    <row r="996" s="7" customFormat="1" ht="14.25" customHeight="1" x14ac:dyDescent="0.3"/>
    <row r="997" s="7" customFormat="1" ht="14.25" customHeight="1" x14ac:dyDescent="0.3"/>
    <row r="998" s="7" customFormat="1" ht="14.25" customHeight="1" x14ac:dyDescent="0.3"/>
    <row r="999" s="7" customFormat="1" ht="14.25" customHeight="1" x14ac:dyDescent="0.3"/>
    <row r="1000" s="7" customFormat="1" ht="14.25" customHeight="1" x14ac:dyDescent="0.3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13"/>
  <sheetViews>
    <sheetView workbookViewId="0">
      <selection activeCell="G19" sqref="G19"/>
    </sheetView>
  </sheetViews>
  <sheetFormatPr defaultColWidth="14.44140625" defaultRowHeight="15" customHeight="1" x14ac:dyDescent="0.3"/>
  <cols>
    <col min="1" max="1" width="14.44140625" style="7"/>
    <col min="2" max="2" width="8.44140625" style="7" customWidth="1"/>
    <col min="3" max="3" width="14.44140625" style="7"/>
    <col min="4" max="4" width="16.88671875" style="7" customWidth="1"/>
    <col min="5" max="5" width="25" style="7" customWidth="1"/>
    <col min="6" max="6" width="21" style="7" customWidth="1"/>
    <col min="7" max="7" width="22.5546875" style="7" customWidth="1"/>
    <col min="8" max="8" width="23.5546875" style="7" customWidth="1"/>
    <col min="9" max="9" width="23" style="7" customWidth="1"/>
    <col min="10" max="10" width="24.44140625" style="7" customWidth="1"/>
    <col min="11" max="16384" width="14.44140625" style="7"/>
  </cols>
  <sheetData>
    <row r="1" spans="1:10" ht="15" customHeight="1" x14ac:dyDescent="0.3">
      <c r="A1" s="7" t="s">
        <v>359</v>
      </c>
      <c r="B1" s="25">
        <f>WACC!B13</f>
        <v>0.2</v>
      </c>
    </row>
    <row r="2" spans="1:10" ht="15" customHeight="1" x14ac:dyDescent="0.3">
      <c r="A2" s="7" t="s">
        <v>360</v>
      </c>
      <c r="B2" s="11">
        <f>WACC!B14</f>
        <v>0.11412177720593472</v>
      </c>
      <c r="D2" s="22"/>
      <c r="E2" s="22">
        <v>0</v>
      </c>
      <c r="F2" s="22">
        <v>1</v>
      </c>
      <c r="G2" s="22">
        <v>2</v>
      </c>
      <c r="H2" s="22">
        <v>3</v>
      </c>
      <c r="I2" s="22">
        <v>4</v>
      </c>
      <c r="J2" s="22">
        <v>5</v>
      </c>
    </row>
    <row r="3" spans="1:10" ht="15" customHeight="1" x14ac:dyDescent="0.3">
      <c r="A3" s="7" t="s">
        <v>361</v>
      </c>
      <c r="B3" s="25">
        <v>0.03</v>
      </c>
      <c r="D3" s="22"/>
      <c r="E3" s="22">
        <v>2025</v>
      </c>
      <c r="F3" s="22">
        <v>2026</v>
      </c>
      <c r="G3" s="22">
        <v>2027</v>
      </c>
      <c r="H3" s="22">
        <v>2028</v>
      </c>
      <c r="I3" s="22">
        <v>2029</v>
      </c>
      <c r="J3" s="22">
        <v>2030</v>
      </c>
    </row>
    <row r="4" spans="1:10" ht="15" customHeight="1" x14ac:dyDescent="0.3">
      <c r="D4" s="22" t="s">
        <v>16</v>
      </c>
      <c r="E4" s="23">
        <f>Forecasting!B9</f>
        <v>1577081290420</v>
      </c>
      <c r="F4" s="23">
        <f>Forecasting!C9</f>
        <v>1947992609681.0566</v>
      </c>
      <c r="G4" s="23">
        <f>Forecasting!D9</f>
        <v>2238959152893.2085</v>
      </c>
      <c r="H4" s="23">
        <f>Forecasting!E9</f>
        <v>2507184750123.4873</v>
      </c>
      <c r="I4" s="23">
        <f>Forecasting!F9</f>
        <v>2872338031750.6421</v>
      </c>
      <c r="J4" s="23">
        <f>Forecasting!G9</f>
        <v>3136711880030.3115</v>
      </c>
    </row>
    <row r="5" spans="1:10" ht="15" customHeight="1" x14ac:dyDescent="0.3">
      <c r="D5" s="22" t="s">
        <v>362</v>
      </c>
      <c r="E5" s="54">
        <f>Depreciation!F4</f>
        <v>859603231390</v>
      </c>
      <c r="F5" s="54">
        <f>Depreciation!G4</f>
        <v>853902143846.25049</v>
      </c>
      <c r="G5" s="54">
        <f>Depreciation!H4</f>
        <v>906956387143.78259</v>
      </c>
      <c r="H5" s="54">
        <f>Depreciation!I4</f>
        <v>944623645530.66724</v>
      </c>
      <c r="I5" s="54">
        <f>Depreciation!J4</f>
        <v>985146920375.35645</v>
      </c>
      <c r="J5" s="54">
        <f>Depreciation!K4</f>
        <v>1028688465571.5103</v>
      </c>
    </row>
    <row r="6" spans="1:10" ht="15" customHeight="1" x14ac:dyDescent="0.3">
      <c r="D6" s="22" t="s">
        <v>363</v>
      </c>
      <c r="E6" s="22"/>
      <c r="F6" s="23">
        <f>Forecasting!C30-Forecasting!B30</f>
        <v>1323716258118.5332</v>
      </c>
      <c r="G6" s="23">
        <f>Forecasting!D30-Forecasting!C30</f>
        <v>1147139528268.7402</v>
      </c>
      <c r="H6" s="23">
        <f>Forecasting!E30-Forecasting!D30</f>
        <v>594018947417.52734</v>
      </c>
      <c r="I6" s="23">
        <f>Forecasting!F30-Forecasting!E30</f>
        <v>656635256600.64844</v>
      </c>
      <c r="J6" s="23">
        <f>Forecasting!G30-Forecasting!F30</f>
        <v>723040688479.17969</v>
      </c>
    </row>
    <row r="7" spans="1:10" ht="15" customHeight="1" x14ac:dyDescent="0.3">
      <c r="D7" s="22" t="s">
        <v>364</v>
      </c>
      <c r="E7" s="23">
        <f>Forecasting!B25+Forecasting!B26-Forecasting!B37-Forecasting!B38</f>
        <v>1489546820392</v>
      </c>
      <c r="F7" s="23">
        <f>Forecasting!C25+Forecasting!C26-Forecasting!C37-Forecasting!C38</f>
        <v>2035867680729.1855</v>
      </c>
      <c r="G7" s="23">
        <f>Forecasting!D25+Forecasting!D26-Forecasting!D37-Forecasting!D38</f>
        <v>2952099786001.394</v>
      </c>
      <c r="H7" s="23">
        <f>Forecasting!E25+Forecasting!E26-Forecasting!E37-Forecasting!E38</f>
        <v>3483685283854.478</v>
      </c>
      <c r="I7" s="23">
        <f>Forecasting!F25+Forecasting!F26-Forecasting!F37-Forecasting!F38</f>
        <v>3929925097074.4766</v>
      </c>
      <c r="J7" s="23">
        <f>Forecasting!G25+Forecasting!G26-Forecasting!G37-Forecasting!G38</f>
        <v>4055475763708.979</v>
      </c>
    </row>
    <row r="8" spans="1:10" ht="15" customHeight="1" x14ac:dyDescent="0.3">
      <c r="D8" s="22" t="s">
        <v>365</v>
      </c>
      <c r="E8" s="22"/>
      <c r="F8" s="23">
        <f t="shared" ref="F8:J8" si="0">F7-E7</f>
        <v>546320860337.18555</v>
      </c>
      <c r="G8" s="23">
        <f t="shared" si="0"/>
        <v>916232105272.2085</v>
      </c>
      <c r="H8" s="23">
        <f t="shared" si="0"/>
        <v>531585497853.08398</v>
      </c>
      <c r="I8" s="23">
        <f t="shared" si="0"/>
        <v>446239813219.99854</v>
      </c>
      <c r="J8" s="23">
        <f t="shared" si="0"/>
        <v>125550666634.50244</v>
      </c>
    </row>
    <row r="9" spans="1:10" ht="15" customHeight="1" x14ac:dyDescent="0.3">
      <c r="D9" s="22" t="s">
        <v>366</v>
      </c>
      <c r="E9" s="22"/>
      <c r="F9" s="54">
        <f t="shared" ref="F9:J9" si="1">F4*(1-$B$1)+F5-F6-F8</f>
        <v>542259113135.37695</v>
      </c>
      <c r="G9" s="54">
        <f t="shared" si="1"/>
        <v>634752075917.40088</v>
      </c>
      <c r="H9" s="54">
        <f t="shared" si="1"/>
        <v>1824767000358.8457</v>
      </c>
      <c r="I9" s="54">
        <f t="shared" si="1"/>
        <v>2180142275955.2231</v>
      </c>
      <c r="J9" s="54">
        <f t="shared" si="1"/>
        <v>2689466614482.0776</v>
      </c>
    </row>
    <row r="10" spans="1:10" ht="15" customHeight="1" x14ac:dyDescent="0.3">
      <c r="D10" s="22" t="s">
        <v>367</v>
      </c>
      <c r="E10" s="22"/>
      <c r="F10" s="101">
        <f t="shared" ref="F10:J10" si="2">F9/((1+$B$2)^F2)</f>
        <v>486714400732.10742</v>
      </c>
      <c r="G10" s="101">
        <f t="shared" si="2"/>
        <v>511374188543.73059</v>
      </c>
      <c r="H10" s="101">
        <f t="shared" si="2"/>
        <v>1319500103577.4951</v>
      </c>
      <c r="I10" s="101">
        <f t="shared" si="2"/>
        <v>1414992648515.0325</v>
      </c>
      <c r="J10" s="101">
        <f t="shared" si="2"/>
        <v>1566761320232.1011</v>
      </c>
    </row>
    <row r="11" spans="1:10" ht="15" customHeight="1" x14ac:dyDescent="0.3">
      <c r="D11" s="22" t="s">
        <v>368</v>
      </c>
      <c r="E11" s="22"/>
      <c r="F11" s="22"/>
      <c r="G11" s="22"/>
      <c r="H11" s="22"/>
      <c r="I11" s="22"/>
      <c r="J11" s="102">
        <f>J9*(1+B3)/(B2-B3)</f>
        <v>32930243569807.844</v>
      </c>
    </row>
    <row r="12" spans="1:10" ht="15" customHeight="1" x14ac:dyDescent="0.3">
      <c r="D12" s="22" t="s">
        <v>369</v>
      </c>
      <c r="E12" s="102"/>
      <c r="F12" s="22"/>
      <c r="G12" s="22"/>
      <c r="H12" s="22"/>
      <c r="I12" s="22"/>
      <c r="J12" s="54">
        <f>J11/((1+B2)^J2)</f>
        <v>19183666981838.496</v>
      </c>
    </row>
    <row r="13" spans="1:10" ht="15" customHeight="1" x14ac:dyDescent="0.3">
      <c r="D13" s="22" t="s">
        <v>370</v>
      </c>
      <c r="E13" s="102">
        <f>SUM(F10:J10,J12)</f>
        <v>24483009643438.961</v>
      </c>
      <c r="F13" s="22"/>
      <c r="G13" s="22"/>
      <c r="H13" s="22"/>
      <c r="I13" s="22"/>
      <c r="J13" s="10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2:C8"/>
  <sheetViews>
    <sheetView workbookViewId="0">
      <selection activeCell="C5" sqref="C5"/>
    </sheetView>
  </sheetViews>
  <sheetFormatPr defaultColWidth="14.44140625" defaultRowHeight="15" customHeight="1" x14ac:dyDescent="0.3"/>
  <cols>
    <col min="1" max="1" width="14.44140625" style="7"/>
    <col min="2" max="2" width="26.6640625" style="7" bestFit="1" customWidth="1"/>
    <col min="3" max="3" width="19" style="7" bestFit="1" customWidth="1"/>
    <col min="4" max="16384" width="14.44140625" style="7"/>
  </cols>
  <sheetData>
    <row r="2" spans="2:3" ht="15" customHeight="1" x14ac:dyDescent="0.3">
      <c r="B2" s="122" t="s">
        <v>366</v>
      </c>
      <c r="C2" s="123"/>
    </row>
    <row r="3" spans="2:3" ht="15" customHeight="1" x14ac:dyDescent="0.3">
      <c r="B3" s="22" t="s">
        <v>422</v>
      </c>
      <c r="C3" s="101">
        <f>'Firm Value'!E13</f>
        <v>24483009643438.961</v>
      </c>
    </row>
    <row r="4" spans="2:3" ht="15" customHeight="1" x14ac:dyDescent="0.3">
      <c r="B4" s="22" t="s">
        <v>423</v>
      </c>
      <c r="C4" s="101">
        <f>Forecasting!B24+Forecasting!B23</f>
        <v>2510230067402</v>
      </c>
    </row>
    <row r="5" spans="2:3" ht="15" customHeight="1" x14ac:dyDescent="0.3">
      <c r="B5" s="22" t="s">
        <v>424</v>
      </c>
      <c r="C5" s="101">
        <f>Debt!F6</f>
        <v>4409257786391</v>
      </c>
    </row>
    <row r="6" spans="2:3" ht="15" customHeight="1" x14ac:dyDescent="0.3">
      <c r="B6" s="22" t="s">
        <v>371</v>
      </c>
      <c r="C6" s="101">
        <f>SUM(C3:C4)-C5-Forecasting!B53</f>
        <v>22326755662944.961</v>
      </c>
    </row>
    <row r="7" spans="2:3" ht="15" customHeight="1" x14ac:dyDescent="0.3">
      <c r="B7" s="22" t="s">
        <v>425</v>
      </c>
      <c r="C7" s="101">
        <f>WACC!B6</f>
        <v>555880006</v>
      </c>
    </row>
    <row r="8" spans="2:3" ht="15" customHeight="1" x14ac:dyDescent="0.3">
      <c r="B8" s="22" t="s">
        <v>377</v>
      </c>
      <c r="C8" s="102">
        <f>C6/C7</f>
        <v>40164.703572635713</v>
      </c>
    </row>
  </sheetData>
  <mergeCells count="1">
    <mergeCell ref="B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G1000"/>
  <sheetViews>
    <sheetView workbookViewId="0">
      <selection activeCell="E16" sqref="E16"/>
    </sheetView>
  </sheetViews>
  <sheetFormatPr defaultColWidth="14.44140625" defaultRowHeight="15" customHeight="1" x14ac:dyDescent="0.3"/>
  <cols>
    <col min="1" max="1" width="22.109375" style="7" customWidth="1"/>
    <col min="2" max="2" width="22.5546875" style="7" customWidth="1"/>
    <col min="3" max="6" width="21.5546875" style="7" customWidth="1"/>
    <col min="7" max="7" width="20.5546875" style="7" customWidth="1"/>
    <col min="8" max="26" width="8.88671875" style="7" customWidth="1"/>
    <col min="27" max="16384" width="14.44140625" style="7"/>
  </cols>
  <sheetData>
    <row r="1" spans="2:7" ht="14.25" customHeight="1" x14ac:dyDescent="0.3"/>
    <row r="2" spans="2:7" ht="14.25" customHeight="1" x14ac:dyDescent="0.3"/>
    <row r="3" spans="2:7" ht="14.25" customHeight="1" x14ac:dyDescent="0.3">
      <c r="B3" s="28"/>
      <c r="C3" s="28"/>
      <c r="F3" s="28"/>
      <c r="G3" s="28"/>
    </row>
    <row r="4" spans="2:7" ht="14.25" customHeight="1" x14ac:dyDescent="0.3">
      <c r="B4" s="22" t="s">
        <v>372</v>
      </c>
      <c r="C4" s="71">
        <f>Peer!O23</f>
        <v>8.4379276083982049</v>
      </c>
      <c r="F4" s="28"/>
      <c r="G4" s="28"/>
    </row>
    <row r="5" spans="2:7" ht="14.25" customHeight="1" x14ac:dyDescent="0.3">
      <c r="B5" s="22" t="s">
        <v>373</v>
      </c>
      <c r="C5" s="104">
        <f>Peer!O24</f>
        <v>1.0527486162818502</v>
      </c>
      <c r="D5" s="86"/>
      <c r="E5" s="86"/>
      <c r="F5" s="105"/>
      <c r="G5" s="28"/>
    </row>
    <row r="6" spans="2:7" ht="14.25" customHeight="1" x14ac:dyDescent="0.3">
      <c r="C6" s="99"/>
      <c r="D6" s="99"/>
      <c r="E6" s="99"/>
      <c r="F6" s="99"/>
      <c r="G6" s="28"/>
    </row>
    <row r="7" spans="2:7" ht="14.25" customHeight="1" x14ac:dyDescent="0.3">
      <c r="C7" s="99"/>
      <c r="F7" s="99"/>
      <c r="G7" s="28"/>
    </row>
    <row r="8" spans="2:7" ht="14.25" customHeight="1" x14ac:dyDescent="0.3">
      <c r="C8" s="99"/>
    </row>
    <row r="9" spans="2:7" ht="14.25" customHeight="1" x14ac:dyDescent="0.3"/>
    <row r="10" spans="2:7" ht="14.25" customHeight="1" x14ac:dyDescent="0.3">
      <c r="B10" s="22"/>
      <c r="C10" s="22" t="s">
        <v>372</v>
      </c>
      <c r="D10" s="22" t="s">
        <v>373</v>
      </c>
    </row>
    <row r="11" spans="2:7" ht="14.25" customHeight="1" x14ac:dyDescent="0.3">
      <c r="B11" s="22" t="s">
        <v>374</v>
      </c>
      <c r="C11" s="54">
        <f>Forecasting!J7*C4</f>
        <v>23642185096614.148</v>
      </c>
      <c r="D11" s="54"/>
      <c r="F11" s="99"/>
    </row>
    <row r="12" spans="2:7" ht="14.25" customHeight="1" x14ac:dyDescent="0.3">
      <c r="B12" s="22" t="s">
        <v>106</v>
      </c>
      <c r="C12" s="23">
        <f>Forecasting!B39</f>
        <v>821033901691</v>
      </c>
      <c r="D12" s="54"/>
    </row>
    <row r="13" spans="2:7" ht="14.25" customHeight="1" x14ac:dyDescent="0.3">
      <c r="B13" s="22" t="s">
        <v>105</v>
      </c>
      <c r="C13" s="23">
        <f>Forecasting!B42</f>
        <v>3588223884700</v>
      </c>
      <c r="D13" s="54"/>
    </row>
    <row r="14" spans="2:7" ht="14.25" customHeight="1" x14ac:dyDescent="0.3">
      <c r="B14" s="22" t="s">
        <v>375</v>
      </c>
      <c r="C14" s="23">
        <f>Forecasting!B23</f>
        <v>1821273980243</v>
      </c>
      <c r="D14" s="54"/>
    </row>
    <row r="15" spans="2:7" ht="14.25" customHeight="1" x14ac:dyDescent="0.3">
      <c r="B15" s="22" t="s">
        <v>376</v>
      </c>
      <c r="C15" s="54">
        <f>C11-C12-C13+C14</f>
        <v>21054201290466.148</v>
      </c>
      <c r="D15" s="54">
        <f>Forecasting!B46*C5</f>
        <v>18000197926478.203</v>
      </c>
    </row>
    <row r="16" spans="2:7" ht="14.25" customHeight="1" x14ac:dyDescent="0.3">
      <c r="B16" s="22" t="s">
        <v>191</v>
      </c>
      <c r="C16" s="54">
        <f>WACC!B6</f>
        <v>555880006</v>
      </c>
      <c r="D16" s="54">
        <f>C16</f>
        <v>555880006</v>
      </c>
    </row>
    <row r="17" spans="2:4" ht="14.25" customHeight="1" x14ac:dyDescent="0.3">
      <c r="B17" s="22" t="s">
        <v>377</v>
      </c>
      <c r="C17" s="54">
        <f t="shared" ref="C17:D17" si="0">C15/C16</f>
        <v>37875.442655273604</v>
      </c>
      <c r="D17" s="54">
        <f t="shared" si="0"/>
        <v>32381.445153971239</v>
      </c>
    </row>
    <row r="18" spans="2:4" ht="14.25" customHeight="1" x14ac:dyDescent="0.3">
      <c r="B18" s="22" t="s">
        <v>378</v>
      </c>
      <c r="C18" s="100">
        <v>0.7</v>
      </c>
      <c r="D18" s="100">
        <v>0.3</v>
      </c>
    </row>
    <row r="19" spans="2:4" ht="14.25" customHeight="1" x14ac:dyDescent="0.3">
      <c r="B19" s="120" t="s">
        <v>377</v>
      </c>
      <c r="C19" s="121">
        <f>SUMPRODUCT(C17:D17,C18:D18)</f>
        <v>36227.243404882895</v>
      </c>
      <c r="D19" s="121"/>
    </row>
    <row r="20" spans="2:4" ht="14.25" customHeight="1" x14ac:dyDescent="0.3"/>
    <row r="21" spans="2:4" ht="14.25" customHeight="1" x14ac:dyDescent="0.3"/>
    <row r="22" spans="2:4" ht="14.25" customHeight="1" x14ac:dyDescent="0.3"/>
    <row r="23" spans="2:4" ht="14.25" customHeight="1" x14ac:dyDescent="0.3"/>
    <row r="24" spans="2:4" ht="14.25" customHeight="1" x14ac:dyDescent="0.3"/>
    <row r="25" spans="2:4" ht="14.25" customHeight="1" x14ac:dyDescent="0.3"/>
    <row r="26" spans="2:4" ht="14.25" customHeight="1" x14ac:dyDescent="0.3"/>
    <row r="27" spans="2:4" ht="14.25" customHeight="1" x14ac:dyDescent="0.3"/>
    <row r="28" spans="2:4" ht="14.25" customHeight="1" x14ac:dyDescent="0.3"/>
    <row r="29" spans="2:4" ht="14.25" customHeight="1" x14ac:dyDescent="0.3"/>
    <row r="30" spans="2:4" ht="14.25" customHeight="1" x14ac:dyDescent="0.3"/>
    <row r="31" spans="2:4" ht="14.25" customHeight="1" x14ac:dyDescent="0.3"/>
    <row r="32" spans="2:4" ht="14.25" customHeight="1" x14ac:dyDescent="0.3"/>
    <row r="33" s="7" customFormat="1" ht="14.25" customHeight="1" x14ac:dyDescent="0.3"/>
    <row r="34" s="7" customFormat="1" ht="14.25" customHeight="1" x14ac:dyDescent="0.3"/>
    <row r="35" s="7" customFormat="1" ht="14.25" customHeight="1" x14ac:dyDescent="0.3"/>
    <row r="36" s="7" customFormat="1" ht="14.25" customHeight="1" x14ac:dyDescent="0.3"/>
    <row r="37" s="7" customFormat="1" ht="14.25" customHeight="1" x14ac:dyDescent="0.3"/>
    <row r="38" s="7" customFormat="1" ht="14.25" customHeight="1" x14ac:dyDescent="0.3"/>
    <row r="39" s="7" customFormat="1" ht="14.25" customHeight="1" x14ac:dyDescent="0.3"/>
    <row r="40" s="7" customFormat="1" ht="14.25" customHeight="1" x14ac:dyDescent="0.3"/>
    <row r="41" s="7" customFormat="1" ht="14.25" customHeight="1" x14ac:dyDescent="0.3"/>
    <row r="42" s="7" customFormat="1" ht="14.25" customHeight="1" x14ac:dyDescent="0.3"/>
    <row r="43" s="7" customFormat="1" ht="14.25" customHeight="1" x14ac:dyDescent="0.3"/>
    <row r="44" s="7" customFormat="1" ht="14.25" customHeight="1" x14ac:dyDescent="0.3"/>
    <row r="45" s="7" customFormat="1" ht="14.25" customHeight="1" x14ac:dyDescent="0.3"/>
    <row r="46" s="7" customFormat="1" ht="14.25" customHeight="1" x14ac:dyDescent="0.3"/>
    <row r="47" s="7" customFormat="1" ht="14.25" customHeight="1" x14ac:dyDescent="0.3"/>
    <row r="48" s="7" customFormat="1" ht="14.25" customHeight="1" x14ac:dyDescent="0.3"/>
    <row r="49" s="7" customFormat="1" ht="14.25" customHeight="1" x14ac:dyDescent="0.3"/>
    <row r="50" s="7" customFormat="1" ht="14.25" customHeight="1" x14ac:dyDescent="0.3"/>
    <row r="51" s="7" customFormat="1" ht="14.25" customHeight="1" x14ac:dyDescent="0.3"/>
    <row r="52" s="7" customFormat="1" ht="14.25" customHeight="1" x14ac:dyDescent="0.3"/>
    <row r="53" s="7" customFormat="1" ht="14.25" customHeight="1" x14ac:dyDescent="0.3"/>
    <row r="54" s="7" customFormat="1" ht="14.25" customHeight="1" x14ac:dyDescent="0.3"/>
    <row r="55" s="7" customFormat="1" ht="14.25" customHeight="1" x14ac:dyDescent="0.3"/>
    <row r="56" s="7" customFormat="1" ht="14.25" customHeight="1" x14ac:dyDescent="0.3"/>
    <row r="57" s="7" customFormat="1" ht="14.25" customHeight="1" x14ac:dyDescent="0.3"/>
    <row r="58" s="7" customFormat="1" ht="14.25" customHeight="1" x14ac:dyDescent="0.3"/>
    <row r="59" s="7" customFormat="1" ht="14.25" customHeight="1" x14ac:dyDescent="0.3"/>
    <row r="60" s="7" customFormat="1" ht="14.25" customHeight="1" x14ac:dyDescent="0.3"/>
    <row r="61" s="7" customFormat="1" ht="14.25" customHeight="1" x14ac:dyDescent="0.3"/>
    <row r="62" s="7" customFormat="1" ht="14.25" customHeight="1" x14ac:dyDescent="0.3"/>
    <row r="63" s="7" customFormat="1" ht="14.25" customHeight="1" x14ac:dyDescent="0.3"/>
    <row r="64" s="7" customFormat="1" ht="14.25" customHeight="1" x14ac:dyDescent="0.3"/>
    <row r="65" s="7" customFormat="1" ht="14.25" customHeight="1" x14ac:dyDescent="0.3"/>
    <row r="66" s="7" customFormat="1" ht="14.25" customHeight="1" x14ac:dyDescent="0.3"/>
    <row r="67" s="7" customFormat="1" ht="14.25" customHeight="1" x14ac:dyDescent="0.3"/>
    <row r="68" s="7" customFormat="1" ht="14.25" customHeight="1" x14ac:dyDescent="0.3"/>
    <row r="69" s="7" customFormat="1" ht="14.25" customHeight="1" x14ac:dyDescent="0.3"/>
    <row r="70" s="7" customFormat="1" ht="14.25" customHeight="1" x14ac:dyDescent="0.3"/>
    <row r="71" s="7" customFormat="1" ht="14.25" customHeight="1" x14ac:dyDescent="0.3"/>
    <row r="72" s="7" customFormat="1" ht="14.25" customHeight="1" x14ac:dyDescent="0.3"/>
    <row r="73" s="7" customFormat="1" ht="14.25" customHeight="1" x14ac:dyDescent="0.3"/>
    <row r="74" s="7" customFormat="1" ht="14.25" customHeight="1" x14ac:dyDescent="0.3"/>
    <row r="75" s="7" customFormat="1" ht="14.25" customHeight="1" x14ac:dyDescent="0.3"/>
    <row r="76" s="7" customFormat="1" ht="14.25" customHeight="1" x14ac:dyDescent="0.3"/>
    <row r="77" s="7" customFormat="1" ht="14.25" customHeight="1" x14ac:dyDescent="0.3"/>
    <row r="78" s="7" customFormat="1" ht="14.25" customHeight="1" x14ac:dyDescent="0.3"/>
    <row r="79" s="7" customFormat="1" ht="14.25" customHeight="1" x14ac:dyDescent="0.3"/>
    <row r="80" s="7" customFormat="1" ht="14.25" customHeight="1" x14ac:dyDescent="0.3"/>
    <row r="81" s="7" customFormat="1" ht="14.25" customHeight="1" x14ac:dyDescent="0.3"/>
    <row r="82" s="7" customFormat="1" ht="14.25" customHeight="1" x14ac:dyDescent="0.3"/>
    <row r="83" s="7" customFormat="1" ht="14.25" customHeight="1" x14ac:dyDescent="0.3"/>
    <row r="84" s="7" customFormat="1" ht="14.25" customHeight="1" x14ac:dyDescent="0.3"/>
    <row r="85" s="7" customFormat="1" ht="14.25" customHeight="1" x14ac:dyDescent="0.3"/>
    <row r="86" s="7" customFormat="1" ht="14.25" customHeight="1" x14ac:dyDescent="0.3"/>
    <row r="87" s="7" customFormat="1" ht="14.25" customHeight="1" x14ac:dyDescent="0.3"/>
    <row r="88" s="7" customFormat="1" ht="14.25" customHeight="1" x14ac:dyDescent="0.3"/>
    <row r="89" s="7" customFormat="1" ht="14.25" customHeight="1" x14ac:dyDescent="0.3"/>
    <row r="90" s="7" customFormat="1" ht="14.25" customHeight="1" x14ac:dyDescent="0.3"/>
    <row r="91" s="7" customFormat="1" ht="14.25" customHeight="1" x14ac:dyDescent="0.3"/>
    <row r="92" s="7" customFormat="1" ht="14.25" customHeight="1" x14ac:dyDescent="0.3"/>
    <row r="93" s="7" customFormat="1" ht="14.25" customHeight="1" x14ac:dyDescent="0.3"/>
    <row r="94" s="7" customFormat="1" ht="14.25" customHeight="1" x14ac:dyDescent="0.3"/>
    <row r="95" s="7" customFormat="1" ht="14.25" customHeight="1" x14ac:dyDescent="0.3"/>
    <row r="96" s="7" customFormat="1" ht="14.25" customHeight="1" x14ac:dyDescent="0.3"/>
    <row r="97" s="7" customFormat="1" ht="14.25" customHeight="1" x14ac:dyDescent="0.3"/>
    <row r="98" s="7" customFormat="1" ht="14.25" customHeight="1" x14ac:dyDescent="0.3"/>
    <row r="99" s="7" customFormat="1" ht="14.25" customHeight="1" x14ac:dyDescent="0.3"/>
    <row r="100" s="7" customFormat="1" ht="14.25" customHeight="1" x14ac:dyDescent="0.3"/>
    <row r="101" s="7" customFormat="1" ht="14.25" customHeight="1" x14ac:dyDescent="0.3"/>
    <row r="102" s="7" customFormat="1" ht="14.25" customHeight="1" x14ac:dyDescent="0.3"/>
    <row r="103" s="7" customFormat="1" ht="14.25" customHeight="1" x14ac:dyDescent="0.3"/>
    <row r="104" s="7" customFormat="1" ht="14.25" customHeight="1" x14ac:dyDescent="0.3"/>
    <row r="105" s="7" customFormat="1" ht="14.25" customHeight="1" x14ac:dyDescent="0.3"/>
    <row r="106" s="7" customFormat="1" ht="14.25" customHeight="1" x14ac:dyDescent="0.3"/>
    <row r="107" s="7" customFormat="1" ht="14.25" customHeight="1" x14ac:dyDescent="0.3"/>
    <row r="108" s="7" customFormat="1" ht="14.25" customHeight="1" x14ac:dyDescent="0.3"/>
    <row r="109" s="7" customFormat="1" ht="14.25" customHeight="1" x14ac:dyDescent="0.3"/>
    <row r="110" s="7" customFormat="1" ht="14.25" customHeight="1" x14ac:dyDescent="0.3"/>
    <row r="111" s="7" customFormat="1" ht="14.25" customHeight="1" x14ac:dyDescent="0.3"/>
    <row r="112" s="7" customFormat="1" ht="14.25" customHeight="1" x14ac:dyDescent="0.3"/>
    <row r="113" s="7" customFormat="1" ht="14.25" customHeight="1" x14ac:dyDescent="0.3"/>
    <row r="114" s="7" customFormat="1" ht="14.25" customHeight="1" x14ac:dyDescent="0.3"/>
    <row r="115" s="7" customFormat="1" ht="14.25" customHeight="1" x14ac:dyDescent="0.3"/>
    <row r="116" s="7" customFormat="1" ht="14.25" customHeight="1" x14ac:dyDescent="0.3"/>
    <row r="117" s="7" customFormat="1" ht="14.25" customHeight="1" x14ac:dyDescent="0.3"/>
    <row r="118" s="7" customFormat="1" ht="14.25" customHeight="1" x14ac:dyDescent="0.3"/>
    <row r="119" s="7" customFormat="1" ht="14.25" customHeight="1" x14ac:dyDescent="0.3"/>
    <row r="120" s="7" customFormat="1" ht="14.25" customHeight="1" x14ac:dyDescent="0.3"/>
    <row r="121" s="7" customFormat="1" ht="14.25" customHeight="1" x14ac:dyDescent="0.3"/>
    <row r="122" s="7" customFormat="1" ht="14.25" customHeight="1" x14ac:dyDescent="0.3"/>
    <row r="123" s="7" customFormat="1" ht="14.25" customHeight="1" x14ac:dyDescent="0.3"/>
    <row r="124" s="7" customFormat="1" ht="14.25" customHeight="1" x14ac:dyDescent="0.3"/>
    <row r="125" s="7" customFormat="1" ht="14.25" customHeight="1" x14ac:dyDescent="0.3"/>
    <row r="126" s="7" customFormat="1" ht="14.25" customHeight="1" x14ac:dyDescent="0.3"/>
    <row r="127" s="7" customFormat="1" ht="14.25" customHeight="1" x14ac:dyDescent="0.3"/>
    <row r="128" s="7" customFormat="1" ht="14.25" customHeight="1" x14ac:dyDescent="0.3"/>
    <row r="129" s="7" customFormat="1" ht="14.25" customHeight="1" x14ac:dyDescent="0.3"/>
    <row r="130" s="7" customFormat="1" ht="14.25" customHeight="1" x14ac:dyDescent="0.3"/>
    <row r="131" s="7" customFormat="1" ht="14.25" customHeight="1" x14ac:dyDescent="0.3"/>
    <row r="132" s="7" customFormat="1" ht="14.25" customHeight="1" x14ac:dyDescent="0.3"/>
    <row r="133" s="7" customFormat="1" ht="14.25" customHeight="1" x14ac:dyDescent="0.3"/>
    <row r="134" s="7" customFormat="1" ht="14.25" customHeight="1" x14ac:dyDescent="0.3"/>
    <row r="135" s="7" customFormat="1" ht="14.25" customHeight="1" x14ac:dyDescent="0.3"/>
    <row r="136" s="7" customFormat="1" ht="14.25" customHeight="1" x14ac:dyDescent="0.3"/>
    <row r="137" s="7" customFormat="1" ht="14.25" customHeight="1" x14ac:dyDescent="0.3"/>
    <row r="138" s="7" customFormat="1" ht="14.25" customHeight="1" x14ac:dyDescent="0.3"/>
    <row r="139" s="7" customFormat="1" ht="14.25" customHeight="1" x14ac:dyDescent="0.3"/>
    <row r="140" s="7" customFormat="1" ht="14.25" customHeight="1" x14ac:dyDescent="0.3"/>
    <row r="141" s="7" customFormat="1" ht="14.25" customHeight="1" x14ac:dyDescent="0.3"/>
    <row r="142" s="7" customFormat="1" ht="14.25" customHeight="1" x14ac:dyDescent="0.3"/>
    <row r="143" s="7" customFormat="1" ht="14.25" customHeight="1" x14ac:dyDescent="0.3"/>
    <row r="144" s="7" customFormat="1" ht="14.25" customHeight="1" x14ac:dyDescent="0.3"/>
    <row r="145" s="7" customFormat="1" ht="14.25" customHeight="1" x14ac:dyDescent="0.3"/>
    <row r="146" s="7" customFormat="1" ht="14.25" customHeight="1" x14ac:dyDescent="0.3"/>
    <row r="147" s="7" customFormat="1" ht="14.25" customHeight="1" x14ac:dyDescent="0.3"/>
    <row r="148" s="7" customFormat="1" ht="14.25" customHeight="1" x14ac:dyDescent="0.3"/>
    <row r="149" s="7" customFormat="1" ht="14.25" customHeight="1" x14ac:dyDescent="0.3"/>
    <row r="150" s="7" customFormat="1" ht="14.25" customHeight="1" x14ac:dyDescent="0.3"/>
    <row r="151" s="7" customFormat="1" ht="14.25" customHeight="1" x14ac:dyDescent="0.3"/>
    <row r="152" s="7" customFormat="1" ht="14.25" customHeight="1" x14ac:dyDescent="0.3"/>
    <row r="153" s="7" customFormat="1" ht="14.25" customHeight="1" x14ac:dyDescent="0.3"/>
    <row r="154" s="7" customFormat="1" ht="14.25" customHeight="1" x14ac:dyDescent="0.3"/>
    <row r="155" s="7" customFormat="1" ht="14.25" customHeight="1" x14ac:dyDescent="0.3"/>
    <row r="156" s="7" customFormat="1" ht="14.25" customHeight="1" x14ac:dyDescent="0.3"/>
    <row r="157" s="7" customFormat="1" ht="14.25" customHeight="1" x14ac:dyDescent="0.3"/>
    <row r="158" s="7" customFormat="1" ht="14.25" customHeight="1" x14ac:dyDescent="0.3"/>
    <row r="159" s="7" customFormat="1" ht="14.25" customHeight="1" x14ac:dyDescent="0.3"/>
    <row r="160" s="7" customFormat="1" ht="14.25" customHeight="1" x14ac:dyDescent="0.3"/>
    <row r="161" s="7" customFormat="1" ht="14.25" customHeight="1" x14ac:dyDescent="0.3"/>
    <row r="162" s="7" customFormat="1" ht="14.25" customHeight="1" x14ac:dyDescent="0.3"/>
    <row r="163" s="7" customFormat="1" ht="14.25" customHeight="1" x14ac:dyDescent="0.3"/>
    <row r="164" s="7" customFormat="1" ht="14.25" customHeight="1" x14ac:dyDescent="0.3"/>
    <row r="165" s="7" customFormat="1" ht="14.25" customHeight="1" x14ac:dyDescent="0.3"/>
    <row r="166" s="7" customFormat="1" ht="14.25" customHeight="1" x14ac:dyDescent="0.3"/>
    <row r="167" s="7" customFormat="1" ht="14.25" customHeight="1" x14ac:dyDescent="0.3"/>
    <row r="168" s="7" customFormat="1" ht="14.25" customHeight="1" x14ac:dyDescent="0.3"/>
    <row r="169" s="7" customFormat="1" ht="14.25" customHeight="1" x14ac:dyDescent="0.3"/>
    <row r="170" s="7" customFormat="1" ht="14.25" customHeight="1" x14ac:dyDescent="0.3"/>
    <row r="171" s="7" customFormat="1" ht="14.25" customHeight="1" x14ac:dyDescent="0.3"/>
    <row r="172" s="7" customFormat="1" ht="14.25" customHeight="1" x14ac:dyDescent="0.3"/>
    <row r="173" s="7" customFormat="1" ht="14.25" customHeight="1" x14ac:dyDescent="0.3"/>
    <row r="174" s="7" customFormat="1" ht="14.25" customHeight="1" x14ac:dyDescent="0.3"/>
    <row r="175" s="7" customFormat="1" ht="14.25" customHeight="1" x14ac:dyDescent="0.3"/>
    <row r="176" s="7" customFormat="1" ht="14.25" customHeight="1" x14ac:dyDescent="0.3"/>
    <row r="177" s="7" customFormat="1" ht="14.25" customHeight="1" x14ac:dyDescent="0.3"/>
    <row r="178" s="7" customFormat="1" ht="14.25" customHeight="1" x14ac:dyDescent="0.3"/>
    <row r="179" s="7" customFormat="1" ht="14.25" customHeight="1" x14ac:dyDescent="0.3"/>
    <row r="180" s="7" customFormat="1" ht="14.25" customHeight="1" x14ac:dyDescent="0.3"/>
    <row r="181" s="7" customFormat="1" ht="14.25" customHeight="1" x14ac:dyDescent="0.3"/>
    <row r="182" s="7" customFormat="1" ht="14.25" customHeight="1" x14ac:dyDescent="0.3"/>
    <row r="183" s="7" customFormat="1" ht="14.25" customHeight="1" x14ac:dyDescent="0.3"/>
    <row r="184" s="7" customFormat="1" ht="14.25" customHeight="1" x14ac:dyDescent="0.3"/>
    <row r="185" s="7" customFormat="1" ht="14.25" customHeight="1" x14ac:dyDescent="0.3"/>
    <row r="186" s="7" customFormat="1" ht="14.25" customHeight="1" x14ac:dyDescent="0.3"/>
    <row r="187" s="7" customFormat="1" ht="14.25" customHeight="1" x14ac:dyDescent="0.3"/>
    <row r="188" s="7" customFormat="1" ht="14.25" customHeight="1" x14ac:dyDescent="0.3"/>
    <row r="189" s="7" customFormat="1" ht="14.25" customHeight="1" x14ac:dyDescent="0.3"/>
    <row r="190" s="7" customFormat="1" ht="14.25" customHeight="1" x14ac:dyDescent="0.3"/>
    <row r="191" s="7" customFormat="1" ht="14.25" customHeight="1" x14ac:dyDescent="0.3"/>
    <row r="192" s="7" customFormat="1" ht="14.25" customHeight="1" x14ac:dyDescent="0.3"/>
    <row r="193" s="7" customFormat="1" ht="14.25" customHeight="1" x14ac:dyDescent="0.3"/>
    <row r="194" s="7" customFormat="1" ht="14.25" customHeight="1" x14ac:dyDescent="0.3"/>
    <row r="195" s="7" customFormat="1" ht="14.25" customHeight="1" x14ac:dyDescent="0.3"/>
    <row r="196" s="7" customFormat="1" ht="14.25" customHeight="1" x14ac:dyDescent="0.3"/>
    <row r="197" s="7" customFormat="1" ht="14.25" customHeight="1" x14ac:dyDescent="0.3"/>
    <row r="198" s="7" customFormat="1" ht="14.25" customHeight="1" x14ac:dyDescent="0.3"/>
    <row r="199" s="7" customFormat="1" ht="14.25" customHeight="1" x14ac:dyDescent="0.3"/>
    <row r="200" s="7" customFormat="1" ht="14.25" customHeight="1" x14ac:dyDescent="0.3"/>
    <row r="201" s="7" customFormat="1" ht="14.25" customHeight="1" x14ac:dyDescent="0.3"/>
    <row r="202" s="7" customFormat="1" ht="14.25" customHeight="1" x14ac:dyDescent="0.3"/>
    <row r="203" s="7" customFormat="1" ht="14.25" customHeight="1" x14ac:dyDescent="0.3"/>
    <row r="204" s="7" customFormat="1" ht="14.25" customHeight="1" x14ac:dyDescent="0.3"/>
    <row r="205" s="7" customFormat="1" ht="14.25" customHeight="1" x14ac:dyDescent="0.3"/>
    <row r="206" s="7" customFormat="1" ht="14.25" customHeight="1" x14ac:dyDescent="0.3"/>
    <row r="207" s="7" customFormat="1" ht="14.25" customHeight="1" x14ac:dyDescent="0.3"/>
    <row r="208" s="7" customFormat="1" ht="14.25" customHeight="1" x14ac:dyDescent="0.3"/>
    <row r="209" s="7" customFormat="1" ht="14.25" customHeight="1" x14ac:dyDescent="0.3"/>
    <row r="210" s="7" customFormat="1" ht="14.25" customHeight="1" x14ac:dyDescent="0.3"/>
    <row r="211" s="7" customFormat="1" ht="14.25" customHeight="1" x14ac:dyDescent="0.3"/>
    <row r="212" s="7" customFormat="1" ht="14.25" customHeight="1" x14ac:dyDescent="0.3"/>
    <row r="213" s="7" customFormat="1" ht="14.25" customHeight="1" x14ac:dyDescent="0.3"/>
    <row r="214" s="7" customFormat="1" ht="14.25" customHeight="1" x14ac:dyDescent="0.3"/>
    <row r="215" s="7" customFormat="1" ht="14.25" customHeight="1" x14ac:dyDescent="0.3"/>
    <row r="216" s="7" customFormat="1" ht="14.25" customHeight="1" x14ac:dyDescent="0.3"/>
    <row r="217" s="7" customFormat="1" ht="14.25" customHeight="1" x14ac:dyDescent="0.3"/>
    <row r="218" s="7" customFormat="1" ht="14.25" customHeight="1" x14ac:dyDescent="0.3"/>
    <row r="219" s="7" customFormat="1" ht="14.25" customHeight="1" x14ac:dyDescent="0.3"/>
    <row r="220" s="7" customFormat="1" ht="14.25" customHeight="1" x14ac:dyDescent="0.3"/>
    <row r="221" s="7" customFormat="1" ht="14.25" customHeight="1" x14ac:dyDescent="0.3"/>
    <row r="222" s="7" customFormat="1" ht="14.25" customHeight="1" x14ac:dyDescent="0.3"/>
    <row r="223" s="7" customFormat="1" ht="14.25" customHeight="1" x14ac:dyDescent="0.3"/>
    <row r="224" s="7" customFormat="1" ht="14.25" customHeight="1" x14ac:dyDescent="0.3"/>
    <row r="225" s="7" customFormat="1" ht="14.25" customHeight="1" x14ac:dyDescent="0.3"/>
    <row r="226" s="7" customFormat="1" ht="14.25" customHeight="1" x14ac:dyDescent="0.3"/>
    <row r="227" s="7" customFormat="1" ht="14.25" customHeight="1" x14ac:dyDescent="0.3"/>
    <row r="228" s="7" customFormat="1" ht="14.25" customHeight="1" x14ac:dyDescent="0.3"/>
    <row r="229" s="7" customFormat="1" ht="14.25" customHeight="1" x14ac:dyDescent="0.3"/>
    <row r="230" s="7" customFormat="1" ht="14.25" customHeight="1" x14ac:dyDescent="0.3"/>
    <row r="231" s="7" customFormat="1" ht="14.25" customHeight="1" x14ac:dyDescent="0.3"/>
    <row r="232" s="7" customFormat="1" ht="14.25" customHeight="1" x14ac:dyDescent="0.3"/>
    <row r="233" s="7" customFormat="1" ht="14.25" customHeight="1" x14ac:dyDescent="0.3"/>
    <row r="234" s="7" customFormat="1" ht="14.25" customHeight="1" x14ac:dyDescent="0.3"/>
    <row r="235" s="7" customFormat="1" ht="14.25" customHeight="1" x14ac:dyDescent="0.3"/>
    <row r="236" s="7" customFormat="1" ht="14.25" customHeight="1" x14ac:dyDescent="0.3"/>
    <row r="237" s="7" customFormat="1" ht="14.25" customHeight="1" x14ac:dyDescent="0.3"/>
    <row r="238" s="7" customFormat="1" ht="14.25" customHeight="1" x14ac:dyDescent="0.3"/>
    <row r="239" s="7" customFormat="1" ht="14.25" customHeight="1" x14ac:dyDescent="0.3"/>
    <row r="240" s="7" customFormat="1" ht="14.25" customHeight="1" x14ac:dyDescent="0.3"/>
    <row r="241" s="7" customFormat="1" ht="14.25" customHeight="1" x14ac:dyDescent="0.3"/>
    <row r="242" s="7" customFormat="1" ht="14.25" customHeight="1" x14ac:dyDescent="0.3"/>
    <row r="243" s="7" customFormat="1" ht="14.25" customHeight="1" x14ac:dyDescent="0.3"/>
    <row r="244" s="7" customFormat="1" ht="14.25" customHeight="1" x14ac:dyDescent="0.3"/>
    <row r="245" s="7" customFormat="1" ht="14.25" customHeight="1" x14ac:dyDescent="0.3"/>
    <row r="246" s="7" customFormat="1" ht="14.25" customHeight="1" x14ac:dyDescent="0.3"/>
    <row r="247" s="7" customFormat="1" ht="14.25" customHeight="1" x14ac:dyDescent="0.3"/>
    <row r="248" s="7" customFormat="1" ht="14.25" customHeight="1" x14ac:dyDescent="0.3"/>
    <row r="249" s="7" customFormat="1" ht="14.25" customHeight="1" x14ac:dyDescent="0.3"/>
    <row r="250" s="7" customFormat="1" ht="14.25" customHeight="1" x14ac:dyDescent="0.3"/>
    <row r="251" s="7" customFormat="1" ht="14.25" customHeight="1" x14ac:dyDescent="0.3"/>
    <row r="252" s="7" customFormat="1" ht="14.25" customHeight="1" x14ac:dyDescent="0.3"/>
    <row r="253" s="7" customFormat="1" ht="14.25" customHeight="1" x14ac:dyDescent="0.3"/>
    <row r="254" s="7" customFormat="1" ht="14.25" customHeight="1" x14ac:dyDescent="0.3"/>
    <row r="255" s="7" customFormat="1" ht="14.25" customHeight="1" x14ac:dyDescent="0.3"/>
    <row r="256" s="7" customFormat="1" ht="14.25" customHeight="1" x14ac:dyDescent="0.3"/>
    <row r="257" s="7" customFormat="1" ht="14.25" customHeight="1" x14ac:dyDescent="0.3"/>
    <row r="258" s="7" customFormat="1" ht="14.25" customHeight="1" x14ac:dyDescent="0.3"/>
    <row r="259" s="7" customFormat="1" ht="14.25" customHeight="1" x14ac:dyDescent="0.3"/>
    <row r="260" s="7" customFormat="1" ht="14.25" customHeight="1" x14ac:dyDescent="0.3"/>
    <row r="261" s="7" customFormat="1" ht="14.25" customHeight="1" x14ac:dyDescent="0.3"/>
    <row r="262" s="7" customFormat="1" ht="14.25" customHeight="1" x14ac:dyDescent="0.3"/>
    <row r="263" s="7" customFormat="1" ht="14.25" customHeight="1" x14ac:dyDescent="0.3"/>
    <row r="264" s="7" customFormat="1" ht="14.25" customHeight="1" x14ac:dyDescent="0.3"/>
    <row r="265" s="7" customFormat="1" ht="14.25" customHeight="1" x14ac:dyDescent="0.3"/>
    <row r="266" s="7" customFormat="1" ht="14.25" customHeight="1" x14ac:dyDescent="0.3"/>
    <row r="267" s="7" customFormat="1" ht="14.25" customHeight="1" x14ac:dyDescent="0.3"/>
    <row r="268" s="7" customFormat="1" ht="14.25" customHeight="1" x14ac:dyDescent="0.3"/>
    <row r="269" s="7" customFormat="1" ht="14.25" customHeight="1" x14ac:dyDescent="0.3"/>
    <row r="270" s="7" customFormat="1" ht="14.25" customHeight="1" x14ac:dyDescent="0.3"/>
    <row r="271" s="7" customFormat="1" ht="14.25" customHeight="1" x14ac:dyDescent="0.3"/>
    <row r="272" s="7" customFormat="1" ht="14.25" customHeight="1" x14ac:dyDescent="0.3"/>
    <row r="273" s="7" customFormat="1" ht="14.25" customHeight="1" x14ac:dyDescent="0.3"/>
    <row r="274" s="7" customFormat="1" ht="14.25" customHeight="1" x14ac:dyDescent="0.3"/>
    <row r="275" s="7" customFormat="1" ht="14.25" customHeight="1" x14ac:dyDescent="0.3"/>
    <row r="276" s="7" customFormat="1" ht="14.25" customHeight="1" x14ac:dyDescent="0.3"/>
    <row r="277" s="7" customFormat="1" ht="14.25" customHeight="1" x14ac:dyDescent="0.3"/>
    <row r="278" s="7" customFormat="1" ht="14.25" customHeight="1" x14ac:dyDescent="0.3"/>
    <row r="279" s="7" customFormat="1" ht="14.25" customHeight="1" x14ac:dyDescent="0.3"/>
    <row r="280" s="7" customFormat="1" ht="14.25" customHeight="1" x14ac:dyDescent="0.3"/>
    <row r="281" s="7" customFormat="1" ht="14.25" customHeight="1" x14ac:dyDescent="0.3"/>
    <row r="282" s="7" customFormat="1" ht="14.25" customHeight="1" x14ac:dyDescent="0.3"/>
    <row r="283" s="7" customFormat="1" ht="14.25" customHeight="1" x14ac:dyDescent="0.3"/>
    <row r="284" s="7" customFormat="1" ht="14.25" customHeight="1" x14ac:dyDescent="0.3"/>
    <row r="285" s="7" customFormat="1" ht="14.25" customHeight="1" x14ac:dyDescent="0.3"/>
    <row r="286" s="7" customFormat="1" ht="14.25" customHeight="1" x14ac:dyDescent="0.3"/>
    <row r="287" s="7" customFormat="1" ht="14.25" customHeight="1" x14ac:dyDescent="0.3"/>
    <row r="288" s="7" customFormat="1" ht="14.25" customHeight="1" x14ac:dyDescent="0.3"/>
    <row r="289" s="7" customFormat="1" ht="14.25" customHeight="1" x14ac:dyDescent="0.3"/>
    <row r="290" s="7" customFormat="1" ht="14.25" customHeight="1" x14ac:dyDescent="0.3"/>
    <row r="291" s="7" customFormat="1" ht="14.25" customHeight="1" x14ac:dyDescent="0.3"/>
    <row r="292" s="7" customFormat="1" ht="14.25" customHeight="1" x14ac:dyDescent="0.3"/>
    <row r="293" s="7" customFormat="1" ht="14.25" customHeight="1" x14ac:dyDescent="0.3"/>
    <row r="294" s="7" customFormat="1" ht="14.25" customHeight="1" x14ac:dyDescent="0.3"/>
    <row r="295" s="7" customFormat="1" ht="14.25" customHeight="1" x14ac:dyDescent="0.3"/>
    <row r="296" s="7" customFormat="1" ht="14.25" customHeight="1" x14ac:dyDescent="0.3"/>
    <row r="297" s="7" customFormat="1" ht="14.25" customHeight="1" x14ac:dyDescent="0.3"/>
    <row r="298" s="7" customFormat="1" ht="14.25" customHeight="1" x14ac:dyDescent="0.3"/>
    <row r="299" s="7" customFormat="1" ht="14.25" customHeight="1" x14ac:dyDescent="0.3"/>
    <row r="300" s="7" customFormat="1" ht="14.25" customHeight="1" x14ac:dyDescent="0.3"/>
    <row r="301" s="7" customFormat="1" ht="14.25" customHeight="1" x14ac:dyDescent="0.3"/>
    <row r="302" s="7" customFormat="1" ht="14.25" customHeight="1" x14ac:dyDescent="0.3"/>
    <row r="303" s="7" customFormat="1" ht="14.25" customHeight="1" x14ac:dyDescent="0.3"/>
    <row r="304" s="7" customFormat="1" ht="14.25" customHeight="1" x14ac:dyDescent="0.3"/>
    <row r="305" s="7" customFormat="1" ht="14.25" customHeight="1" x14ac:dyDescent="0.3"/>
    <row r="306" s="7" customFormat="1" ht="14.25" customHeight="1" x14ac:dyDescent="0.3"/>
    <row r="307" s="7" customFormat="1" ht="14.25" customHeight="1" x14ac:dyDescent="0.3"/>
    <row r="308" s="7" customFormat="1" ht="14.25" customHeight="1" x14ac:dyDescent="0.3"/>
    <row r="309" s="7" customFormat="1" ht="14.25" customHeight="1" x14ac:dyDescent="0.3"/>
    <row r="310" s="7" customFormat="1" ht="14.25" customHeight="1" x14ac:dyDescent="0.3"/>
    <row r="311" s="7" customFormat="1" ht="14.25" customHeight="1" x14ac:dyDescent="0.3"/>
    <row r="312" s="7" customFormat="1" ht="14.25" customHeight="1" x14ac:dyDescent="0.3"/>
    <row r="313" s="7" customFormat="1" ht="14.25" customHeight="1" x14ac:dyDescent="0.3"/>
    <row r="314" s="7" customFormat="1" ht="14.25" customHeight="1" x14ac:dyDescent="0.3"/>
    <row r="315" s="7" customFormat="1" ht="14.25" customHeight="1" x14ac:dyDescent="0.3"/>
    <row r="316" s="7" customFormat="1" ht="14.25" customHeight="1" x14ac:dyDescent="0.3"/>
    <row r="317" s="7" customFormat="1" ht="14.25" customHeight="1" x14ac:dyDescent="0.3"/>
    <row r="318" s="7" customFormat="1" ht="14.25" customHeight="1" x14ac:dyDescent="0.3"/>
    <row r="319" s="7" customFormat="1" ht="14.25" customHeight="1" x14ac:dyDescent="0.3"/>
    <row r="320" s="7" customFormat="1" ht="14.25" customHeight="1" x14ac:dyDescent="0.3"/>
    <row r="321" s="7" customFormat="1" ht="14.25" customHeight="1" x14ac:dyDescent="0.3"/>
    <row r="322" s="7" customFormat="1" ht="14.25" customHeight="1" x14ac:dyDescent="0.3"/>
    <row r="323" s="7" customFormat="1" ht="14.25" customHeight="1" x14ac:dyDescent="0.3"/>
    <row r="324" s="7" customFormat="1" ht="14.25" customHeight="1" x14ac:dyDescent="0.3"/>
    <row r="325" s="7" customFormat="1" ht="14.25" customHeight="1" x14ac:dyDescent="0.3"/>
    <row r="326" s="7" customFormat="1" ht="14.25" customHeight="1" x14ac:dyDescent="0.3"/>
    <row r="327" s="7" customFormat="1" ht="14.25" customHeight="1" x14ac:dyDescent="0.3"/>
    <row r="328" s="7" customFormat="1" ht="14.25" customHeight="1" x14ac:dyDescent="0.3"/>
    <row r="329" s="7" customFormat="1" ht="14.25" customHeight="1" x14ac:dyDescent="0.3"/>
    <row r="330" s="7" customFormat="1" ht="14.25" customHeight="1" x14ac:dyDescent="0.3"/>
    <row r="331" s="7" customFormat="1" ht="14.25" customHeight="1" x14ac:dyDescent="0.3"/>
    <row r="332" s="7" customFormat="1" ht="14.25" customHeight="1" x14ac:dyDescent="0.3"/>
    <row r="333" s="7" customFormat="1" ht="14.25" customHeight="1" x14ac:dyDescent="0.3"/>
    <row r="334" s="7" customFormat="1" ht="14.25" customHeight="1" x14ac:dyDescent="0.3"/>
    <row r="335" s="7" customFormat="1" ht="14.25" customHeight="1" x14ac:dyDescent="0.3"/>
    <row r="336" s="7" customFormat="1" ht="14.25" customHeight="1" x14ac:dyDescent="0.3"/>
    <row r="337" s="7" customFormat="1" ht="14.25" customHeight="1" x14ac:dyDescent="0.3"/>
    <row r="338" s="7" customFormat="1" ht="14.25" customHeight="1" x14ac:dyDescent="0.3"/>
    <row r="339" s="7" customFormat="1" ht="14.25" customHeight="1" x14ac:dyDescent="0.3"/>
    <row r="340" s="7" customFormat="1" ht="14.25" customHeight="1" x14ac:dyDescent="0.3"/>
    <row r="341" s="7" customFormat="1" ht="14.25" customHeight="1" x14ac:dyDescent="0.3"/>
    <row r="342" s="7" customFormat="1" ht="14.25" customHeight="1" x14ac:dyDescent="0.3"/>
    <row r="343" s="7" customFormat="1" ht="14.25" customHeight="1" x14ac:dyDescent="0.3"/>
    <row r="344" s="7" customFormat="1" ht="14.25" customHeight="1" x14ac:dyDescent="0.3"/>
    <row r="345" s="7" customFormat="1" ht="14.25" customHeight="1" x14ac:dyDescent="0.3"/>
    <row r="346" s="7" customFormat="1" ht="14.25" customHeight="1" x14ac:dyDescent="0.3"/>
    <row r="347" s="7" customFormat="1" ht="14.25" customHeight="1" x14ac:dyDescent="0.3"/>
    <row r="348" s="7" customFormat="1" ht="14.25" customHeight="1" x14ac:dyDescent="0.3"/>
    <row r="349" s="7" customFormat="1" ht="14.25" customHeight="1" x14ac:dyDescent="0.3"/>
    <row r="350" s="7" customFormat="1" ht="14.25" customHeight="1" x14ac:dyDescent="0.3"/>
    <row r="351" s="7" customFormat="1" ht="14.25" customHeight="1" x14ac:dyDescent="0.3"/>
    <row r="352" s="7" customFormat="1" ht="14.25" customHeight="1" x14ac:dyDescent="0.3"/>
    <row r="353" s="7" customFormat="1" ht="14.25" customHeight="1" x14ac:dyDescent="0.3"/>
    <row r="354" s="7" customFormat="1" ht="14.25" customHeight="1" x14ac:dyDescent="0.3"/>
    <row r="355" s="7" customFormat="1" ht="14.25" customHeight="1" x14ac:dyDescent="0.3"/>
    <row r="356" s="7" customFormat="1" ht="14.25" customHeight="1" x14ac:dyDescent="0.3"/>
    <row r="357" s="7" customFormat="1" ht="14.25" customHeight="1" x14ac:dyDescent="0.3"/>
    <row r="358" s="7" customFormat="1" ht="14.25" customHeight="1" x14ac:dyDescent="0.3"/>
    <row r="359" s="7" customFormat="1" ht="14.25" customHeight="1" x14ac:dyDescent="0.3"/>
    <row r="360" s="7" customFormat="1" ht="14.25" customHeight="1" x14ac:dyDescent="0.3"/>
    <row r="361" s="7" customFormat="1" ht="14.25" customHeight="1" x14ac:dyDescent="0.3"/>
    <row r="362" s="7" customFormat="1" ht="14.25" customHeight="1" x14ac:dyDescent="0.3"/>
    <row r="363" s="7" customFormat="1" ht="14.25" customHeight="1" x14ac:dyDescent="0.3"/>
    <row r="364" s="7" customFormat="1" ht="14.25" customHeight="1" x14ac:dyDescent="0.3"/>
    <row r="365" s="7" customFormat="1" ht="14.25" customHeight="1" x14ac:dyDescent="0.3"/>
    <row r="366" s="7" customFormat="1" ht="14.25" customHeight="1" x14ac:dyDescent="0.3"/>
    <row r="367" s="7" customFormat="1" ht="14.25" customHeight="1" x14ac:dyDescent="0.3"/>
    <row r="368" s="7" customFormat="1" ht="14.25" customHeight="1" x14ac:dyDescent="0.3"/>
    <row r="369" s="7" customFormat="1" ht="14.25" customHeight="1" x14ac:dyDescent="0.3"/>
    <row r="370" s="7" customFormat="1" ht="14.25" customHeight="1" x14ac:dyDescent="0.3"/>
    <row r="371" s="7" customFormat="1" ht="14.25" customHeight="1" x14ac:dyDescent="0.3"/>
    <row r="372" s="7" customFormat="1" ht="14.25" customHeight="1" x14ac:dyDescent="0.3"/>
    <row r="373" s="7" customFormat="1" ht="14.25" customHeight="1" x14ac:dyDescent="0.3"/>
    <row r="374" s="7" customFormat="1" ht="14.25" customHeight="1" x14ac:dyDescent="0.3"/>
    <row r="375" s="7" customFormat="1" ht="14.25" customHeight="1" x14ac:dyDescent="0.3"/>
    <row r="376" s="7" customFormat="1" ht="14.25" customHeight="1" x14ac:dyDescent="0.3"/>
    <row r="377" s="7" customFormat="1" ht="14.25" customHeight="1" x14ac:dyDescent="0.3"/>
    <row r="378" s="7" customFormat="1" ht="14.25" customHeight="1" x14ac:dyDescent="0.3"/>
    <row r="379" s="7" customFormat="1" ht="14.25" customHeight="1" x14ac:dyDescent="0.3"/>
    <row r="380" s="7" customFormat="1" ht="14.25" customHeight="1" x14ac:dyDescent="0.3"/>
    <row r="381" s="7" customFormat="1" ht="14.25" customHeight="1" x14ac:dyDescent="0.3"/>
    <row r="382" s="7" customFormat="1" ht="14.25" customHeight="1" x14ac:dyDescent="0.3"/>
    <row r="383" s="7" customFormat="1" ht="14.25" customHeight="1" x14ac:dyDescent="0.3"/>
    <row r="384" s="7" customFormat="1" ht="14.25" customHeight="1" x14ac:dyDescent="0.3"/>
    <row r="385" s="7" customFormat="1" ht="14.25" customHeight="1" x14ac:dyDescent="0.3"/>
    <row r="386" s="7" customFormat="1" ht="14.25" customHeight="1" x14ac:dyDescent="0.3"/>
    <row r="387" s="7" customFormat="1" ht="14.25" customHeight="1" x14ac:dyDescent="0.3"/>
    <row r="388" s="7" customFormat="1" ht="14.25" customHeight="1" x14ac:dyDescent="0.3"/>
    <row r="389" s="7" customFormat="1" ht="14.25" customHeight="1" x14ac:dyDescent="0.3"/>
    <row r="390" s="7" customFormat="1" ht="14.25" customHeight="1" x14ac:dyDescent="0.3"/>
    <row r="391" s="7" customFormat="1" ht="14.25" customHeight="1" x14ac:dyDescent="0.3"/>
    <row r="392" s="7" customFormat="1" ht="14.25" customHeight="1" x14ac:dyDescent="0.3"/>
    <row r="393" s="7" customFormat="1" ht="14.25" customHeight="1" x14ac:dyDescent="0.3"/>
    <row r="394" s="7" customFormat="1" ht="14.25" customHeight="1" x14ac:dyDescent="0.3"/>
    <row r="395" s="7" customFormat="1" ht="14.25" customHeight="1" x14ac:dyDescent="0.3"/>
    <row r="396" s="7" customFormat="1" ht="14.25" customHeight="1" x14ac:dyDescent="0.3"/>
    <row r="397" s="7" customFormat="1" ht="14.25" customHeight="1" x14ac:dyDescent="0.3"/>
    <row r="398" s="7" customFormat="1" ht="14.25" customHeight="1" x14ac:dyDescent="0.3"/>
    <row r="399" s="7" customFormat="1" ht="14.25" customHeight="1" x14ac:dyDescent="0.3"/>
    <row r="400" s="7" customFormat="1" ht="14.25" customHeight="1" x14ac:dyDescent="0.3"/>
    <row r="401" s="7" customFormat="1" ht="14.25" customHeight="1" x14ac:dyDescent="0.3"/>
    <row r="402" s="7" customFormat="1" ht="14.25" customHeight="1" x14ac:dyDescent="0.3"/>
    <row r="403" s="7" customFormat="1" ht="14.25" customHeight="1" x14ac:dyDescent="0.3"/>
    <row r="404" s="7" customFormat="1" ht="14.25" customHeight="1" x14ac:dyDescent="0.3"/>
    <row r="405" s="7" customFormat="1" ht="14.25" customHeight="1" x14ac:dyDescent="0.3"/>
    <row r="406" s="7" customFormat="1" ht="14.25" customHeight="1" x14ac:dyDescent="0.3"/>
    <row r="407" s="7" customFormat="1" ht="14.25" customHeight="1" x14ac:dyDescent="0.3"/>
    <row r="408" s="7" customFormat="1" ht="14.25" customHeight="1" x14ac:dyDescent="0.3"/>
    <row r="409" s="7" customFormat="1" ht="14.25" customHeight="1" x14ac:dyDescent="0.3"/>
    <row r="410" s="7" customFormat="1" ht="14.25" customHeight="1" x14ac:dyDescent="0.3"/>
    <row r="411" s="7" customFormat="1" ht="14.25" customHeight="1" x14ac:dyDescent="0.3"/>
    <row r="412" s="7" customFormat="1" ht="14.25" customHeight="1" x14ac:dyDescent="0.3"/>
    <row r="413" s="7" customFormat="1" ht="14.25" customHeight="1" x14ac:dyDescent="0.3"/>
    <row r="414" s="7" customFormat="1" ht="14.25" customHeight="1" x14ac:dyDescent="0.3"/>
    <row r="415" s="7" customFormat="1" ht="14.25" customHeight="1" x14ac:dyDescent="0.3"/>
    <row r="416" s="7" customFormat="1" ht="14.25" customHeight="1" x14ac:dyDescent="0.3"/>
    <row r="417" s="7" customFormat="1" ht="14.25" customHeight="1" x14ac:dyDescent="0.3"/>
    <row r="418" s="7" customFormat="1" ht="14.25" customHeight="1" x14ac:dyDescent="0.3"/>
    <row r="419" s="7" customFormat="1" ht="14.25" customHeight="1" x14ac:dyDescent="0.3"/>
    <row r="420" s="7" customFormat="1" ht="14.25" customHeight="1" x14ac:dyDescent="0.3"/>
    <row r="421" s="7" customFormat="1" ht="14.25" customHeight="1" x14ac:dyDescent="0.3"/>
    <row r="422" s="7" customFormat="1" ht="14.25" customHeight="1" x14ac:dyDescent="0.3"/>
    <row r="423" s="7" customFormat="1" ht="14.25" customHeight="1" x14ac:dyDescent="0.3"/>
    <row r="424" s="7" customFormat="1" ht="14.25" customHeight="1" x14ac:dyDescent="0.3"/>
    <row r="425" s="7" customFormat="1" ht="14.25" customHeight="1" x14ac:dyDescent="0.3"/>
    <row r="426" s="7" customFormat="1" ht="14.25" customHeight="1" x14ac:dyDescent="0.3"/>
    <row r="427" s="7" customFormat="1" ht="14.25" customHeight="1" x14ac:dyDescent="0.3"/>
    <row r="428" s="7" customFormat="1" ht="14.25" customHeight="1" x14ac:dyDescent="0.3"/>
    <row r="429" s="7" customFormat="1" ht="14.25" customHeight="1" x14ac:dyDescent="0.3"/>
    <row r="430" s="7" customFormat="1" ht="14.25" customHeight="1" x14ac:dyDescent="0.3"/>
    <row r="431" s="7" customFormat="1" ht="14.25" customHeight="1" x14ac:dyDescent="0.3"/>
    <row r="432" s="7" customFormat="1" ht="14.25" customHeight="1" x14ac:dyDescent="0.3"/>
    <row r="433" s="7" customFormat="1" ht="14.25" customHeight="1" x14ac:dyDescent="0.3"/>
    <row r="434" s="7" customFormat="1" ht="14.25" customHeight="1" x14ac:dyDescent="0.3"/>
    <row r="435" s="7" customFormat="1" ht="14.25" customHeight="1" x14ac:dyDescent="0.3"/>
    <row r="436" s="7" customFormat="1" ht="14.25" customHeight="1" x14ac:dyDescent="0.3"/>
    <row r="437" s="7" customFormat="1" ht="14.25" customHeight="1" x14ac:dyDescent="0.3"/>
    <row r="438" s="7" customFormat="1" ht="14.25" customHeight="1" x14ac:dyDescent="0.3"/>
    <row r="439" s="7" customFormat="1" ht="14.25" customHeight="1" x14ac:dyDescent="0.3"/>
    <row r="440" s="7" customFormat="1" ht="14.25" customHeight="1" x14ac:dyDescent="0.3"/>
    <row r="441" s="7" customFormat="1" ht="14.25" customHeight="1" x14ac:dyDescent="0.3"/>
    <row r="442" s="7" customFormat="1" ht="14.25" customHeight="1" x14ac:dyDescent="0.3"/>
    <row r="443" s="7" customFormat="1" ht="14.25" customHeight="1" x14ac:dyDescent="0.3"/>
    <row r="444" s="7" customFormat="1" ht="14.25" customHeight="1" x14ac:dyDescent="0.3"/>
    <row r="445" s="7" customFormat="1" ht="14.25" customHeight="1" x14ac:dyDescent="0.3"/>
    <row r="446" s="7" customFormat="1" ht="14.25" customHeight="1" x14ac:dyDescent="0.3"/>
    <row r="447" s="7" customFormat="1" ht="14.25" customHeight="1" x14ac:dyDescent="0.3"/>
    <row r="448" s="7" customFormat="1" ht="14.25" customHeight="1" x14ac:dyDescent="0.3"/>
    <row r="449" s="7" customFormat="1" ht="14.25" customHeight="1" x14ac:dyDescent="0.3"/>
    <row r="450" s="7" customFormat="1" ht="14.25" customHeight="1" x14ac:dyDescent="0.3"/>
    <row r="451" s="7" customFormat="1" ht="14.25" customHeight="1" x14ac:dyDescent="0.3"/>
    <row r="452" s="7" customFormat="1" ht="14.25" customHeight="1" x14ac:dyDescent="0.3"/>
    <row r="453" s="7" customFormat="1" ht="14.25" customHeight="1" x14ac:dyDescent="0.3"/>
    <row r="454" s="7" customFormat="1" ht="14.25" customHeight="1" x14ac:dyDescent="0.3"/>
    <row r="455" s="7" customFormat="1" ht="14.25" customHeight="1" x14ac:dyDescent="0.3"/>
    <row r="456" s="7" customFormat="1" ht="14.25" customHeight="1" x14ac:dyDescent="0.3"/>
    <row r="457" s="7" customFormat="1" ht="14.25" customHeight="1" x14ac:dyDescent="0.3"/>
    <row r="458" s="7" customFormat="1" ht="14.25" customHeight="1" x14ac:dyDescent="0.3"/>
    <row r="459" s="7" customFormat="1" ht="14.25" customHeight="1" x14ac:dyDescent="0.3"/>
    <row r="460" s="7" customFormat="1" ht="14.25" customHeight="1" x14ac:dyDescent="0.3"/>
    <row r="461" s="7" customFormat="1" ht="14.25" customHeight="1" x14ac:dyDescent="0.3"/>
    <row r="462" s="7" customFormat="1" ht="14.25" customHeight="1" x14ac:dyDescent="0.3"/>
    <row r="463" s="7" customFormat="1" ht="14.25" customHeight="1" x14ac:dyDescent="0.3"/>
    <row r="464" s="7" customFormat="1" ht="14.25" customHeight="1" x14ac:dyDescent="0.3"/>
    <row r="465" s="7" customFormat="1" ht="14.25" customHeight="1" x14ac:dyDescent="0.3"/>
    <row r="466" s="7" customFormat="1" ht="14.25" customHeight="1" x14ac:dyDescent="0.3"/>
    <row r="467" s="7" customFormat="1" ht="14.25" customHeight="1" x14ac:dyDescent="0.3"/>
    <row r="468" s="7" customFormat="1" ht="14.25" customHeight="1" x14ac:dyDescent="0.3"/>
    <row r="469" s="7" customFormat="1" ht="14.25" customHeight="1" x14ac:dyDescent="0.3"/>
    <row r="470" s="7" customFormat="1" ht="14.25" customHeight="1" x14ac:dyDescent="0.3"/>
    <row r="471" s="7" customFormat="1" ht="14.25" customHeight="1" x14ac:dyDescent="0.3"/>
    <row r="472" s="7" customFormat="1" ht="14.25" customHeight="1" x14ac:dyDescent="0.3"/>
    <row r="473" s="7" customFormat="1" ht="14.25" customHeight="1" x14ac:dyDescent="0.3"/>
    <row r="474" s="7" customFormat="1" ht="14.25" customHeight="1" x14ac:dyDescent="0.3"/>
    <row r="475" s="7" customFormat="1" ht="14.25" customHeight="1" x14ac:dyDescent="0.3"/>
    <row r="476" s="7" customFormat="1" ht="14.25" customHeight="1" x14ac:dyDescent="0.3"/>
    <row r="477" s="7" customFormat="1" ht="14.25" customHeight="1" x14ac:dyDescent="0.3"/>
    <row r="478" s="7" customFormat="1" ht="14.25" customHeight="1" x14ac:dyDescent="0.3"/>
    <row r="479" s="7" customFormat="1" ht="14.25" customHeight="1" x14ac:dyDescent="0.3"/>
    <row r="480" s="7" customFormat="1" ht="14.25" customHeight="1" x14ac:dyDescent="0.3"/>
    <row r="481" s="7" customFormat="1" ht="14.25" customHeight="1" x14ac:dyDescent="0.3"/>
    <row r="482" s="7" customFormat="1" ht="14.25" customHeight="1" x14ac:dyDescent="0.3"/>
    <row r="483" s="7" customFormat="1" ht="14.25" customHeight="1" x14ac:dyDescent="0.3"/>
    <row r="484" s="7" customFormat="1" ht="14.25" customHeight="1" x14ac:dyDescent="0.3"/>
    <row r="485" s="7" customFormat="1" ht="14.25" customHeight="1" x14ac:dyDescent="0.3"/>
    <row r="486" s="7" customFormat="1" ht="14.25" customHeight="1" x14ac:dyDescent="0.3"/>
    <row r="487" s="7" customFormat="1" ht="14.25" customHeight="1" x14ac:dyDescent="0.3"/>
    <row r="488" s="7" customFormat="1" ht="14.25" customHeight="1" x14ac:dyDescent="0.3"/>
    <row r="489" s="7" customFormat="1" ht="14.25" customHeight="1" x14ac:dyDescent="0.3"/>
    <row r="490" s="7" customFormat="1" ht="14.25" customHeight="1" x14ac:dyDescent="0.3"/>
    <row r="491" s="7" customFormat="1" ht="14.25" customHeight="1" x14ac:dyDescent="0.3"/>
    <row r="492" s="7" customFormat="1" ht="14.25" customHeight="1" x14ac:dyDescent="0.3"/>
    <row r="493" s="7" customFormat="1" ht="14.25" customHeight="1" x14ac:dyDescent="0.3"/>
    <row r="494" s="7" customFormat="1" ht="14.25" customHeight="1" x14ac:dyDescent="0.3"/>
    <row r="495" s="7" customFormat="1" ht="14.25" customHeight="1" x14ac:dyDescent="0.3"/>
    <row r="496" s="7" customFormat="1" ht="14.25" customHeight="1" x14ac:dyDescent="0.3"/>
    <row r="497" s="7" customFormat="1" ht="14.25" customHeight="1" x14ac:dyDescent="0.3"/>
    <row r="498" s="7" customFormat="1" ht="14.25" customHeight="1" x14ac:dyDescent="0.3"/>
    <row r="499" s="7" customFormat="1" ht="14.25" customHeight="1" x14ac:dyDescent="0.3"/>
    <row r="500" s="7" customFormat="1" ht="14.25" customHeight="1" x14ac:dyDescent="0.3"/>
    <row r="501" s="7" customFormat="1" ht="14.25" customHeight="1" x14ac:dyDescent="0.3"/>
    <row r="502" s="7" customFormat="1" ht="14.25" customHeight="1" x14ac:dyDescent="0.3"/>
    <row r="503" s="7" customFormat="1" ht="14.25" customHeight="1" x14ac:dyDescent="0.3"/>
    <row r="504" s="7" customFormat="1" ht="14.25" customHeight="1" x14ac:dyDescent="0.3"/>
    <row r="505" s="7" customFormat="1" ht="14.25" customHeight="1" x14ac:dyDescent="0.3"/>
    <row r="506" s="7" customFormat="1" ht="14.25" customHeight="1" x14ac:dyDescent="0.3"/>
    <row r="507" s="7" customFormat="1" ht="14.25" customHeight="1" x14ac:dyDescent="0.3"/>
    <row r="508" s="7" customFormat="1" ht="14.25" customHeight="1" x14ac:dyDescent="0.3"/>
    <row r="509" s="7" customFormat="1" ht="14.25" customHeight="1" x14ac:dyDescent="0.3"/>
    <row r="510" s="7" customFormat="1" ht="14.25" customHeight="1" x14ac:dyDescent="0.3"/>
    <row r="511" s="7" customFormat="1" ht="14.25" customHeight="1" x14ac:dyDescent="0.3"/>
    <row r="512" s="7" customFormat="1" ht="14.25" customHeight="1" x14ac:dyDescent="0.3"/>
    <row r="513" s="7" customFormat="1" ht="14.25" customHeight="1" x14ac:dyDescent="0.3"/>
    <row r="514" s="7" customFormat="1" ht="14.25" customHeight="1" x14ac:dyDescent="0.3"/>
    <row r="515" s="7" customFormat="1" ht="14.25" customHeight="1" x14ac:dyDescent="0.3"/>
    <row r="516" s="7" customFormat="1" ht="14.25" customHeight="1" x14ac:dyDescent="0.3"/>
    <row r="517" s="7" customFormat="1" ht="14.25" customHeight="1" x14ac:dyDescent="0.3"/>
    <row r="518" s="7" customFormat="1" ht="14.25" customHeight="1" x14ac:dyDescent="0.3"/>
    <row r="519" s="7" customFormat="1" ht="14.25" customHeight="1" x14ac:dyDescent="0.3"/>
    <row r="520" s="7" customFormat="1" ht="14.25" customHeight="1" x14ac:dyDescent="0.3"/>
    <row r="521" s="7" customFormat="1" ht="14.25" customHeight="1" x14ac:dyDescent="0.3"/>
    <row r="522" s="7" customFormat="1" ht="14.25" customHeight="1" x14ac:dyDescent="0.3"/>
    <row r="523" s="7" customFormat="1" ht="14.25" customHeight="1" x14ac:dyDescent="0.3"/>
    <row r="524" s="7" customFormat="1" ht="14.25" customHeight="1" x14ac:dyDescent="0.3"/>
    <row r="525" s="7" customFormat="1" ht="14.25" customHeight="1" x14ac:dyDescent="0.3"/>
    <row r="526" s="7" customFormat="1" ht="14.25" customHeight="1" x14ac:dyDescent="0.3"/>
    <row r="527" s="7" customFormat="1" ht="14.25" customHeight="1" x14ac:dyDescent="0.3"/>
    <row r="528" s="7" customFormat="1" ht="14.25" customHeight="1" x14ac:dyDescent="0.3"/>
    <row r="529" s="7" customFormat="1" ht="14.25" customHeight="1" x14ac:dyDescent="0.3"/>
    <row r="530" s="7" customFormat="1" ht="14.25" customHeight="1" x14ac:dyDescent="0.3"/>
    <row r="531" s="7" customFormat="1" ht="14.25" customHeight="1" x14ac:dyDescent="0.3"/>
    <row r="532" s="7" customFormat="1" ht="14.25" customHeight="1" x14ac:dyDescent="0.3"/>
    <row r="533" s="7" customFormat="1" ht="14.25" customHeight="1" x14ac:dyDescent="0.3"/>
    <row r="534" s="7" customFormat="1" ht="14.25" customHeight="1" x14ac:dyDescent="0.3"/>
    <row r="535" s="7" customFormat="1" ht="14.25" customHeight="1" x14ac:dyDescent="0.3"/>
    <row r="536" s="7" customFormat="1" ht="14.25" customHeight="1" x14ac:dyDescent="0.3"/>
    <row r="537" s="7" customFormat="1" ht="14.25" customHeight="1" x14ac:dyDescent="0.3"/>
    <row r="538" s="7" customFormat="1" ht="14.25" customHeight="1" x14ac:dyDescent="0.3"/>
    <row r="539" s="7" customFormat="1" ht="14.25" customHeight="1" x14ac:dyDescent="0.3"/>
    <row r="540" s="7" customFormat="1" ht="14.25" customHeight="1" x14ac:dyDescent="0.3"/>
    <row r="541" s="7" customFormat="1" ht="14.25" customHeight="1" x14ac:dyDescent="0.3"/>
    <row r="542" s="7" customFormat="1" ht="14.25" customHeight="1" x14ac:dyDescent="0.3"/>
    <row r="543" s="7" customFormat="1" ht="14.25" customHeight="1" x14ac:dyDescent="0.3"/>
    <row r="544" s="7" customFormat="1" ht="14.25" customHeight="1" x14ac:dyDescent="0.3"/>
    <row r="545" s="7" customFormat="1" ht="14.25" customHeight="1" x14ac:dyDescent="0.3"/>
    <row r="546" s="7" customFormat="1" ht="14.25" customHeight="1" x14ac:dyDescent="0.3"/>
    <row r="547" s="7" customFormat="1" ht="14.25" customHeight="1" x14ac:dyDescent="0.3"/>
    <row r="548" s="7" customFormat="1" ht="14.25" customHeight="1" x14ac:dyDescent="0.3"/>
    <row r="549" s="7" customFormat="1" ht="14.25" customHeight="1" x14ac:dyDescent="0.3"/>
    <row r="550" s="7" customFormat="1" ht="14.25" customHeight="1" x14ac:dyDescent="0.3"/>
    <row r="551" s="7" customFormat="1" ht="14.25" customHeight="1" x14ac:dyDescent="0.3"/>
    <row r="552" s="7" customFormat="1" ht="14.25" customHeight="1" x14ac:dyDescent="0.3"/>
    <row r="553" s="7" customFormat="1" ht="14.25" customHeight="1" x14ac:dyDescent="0.3"/>
    <row r="554" s="7" customFormat="1" ht="14.25" customHeight="1" x14ac:dyDescent="0.3"/>
    <row r="555" s="7" customFormat="1" ht="14.25" customHeight="1" x14ac:dyDescent="0.3"/>
    <row r="556" s="7" customFormat="1" ht="14.25" customHeight="1" x14ac:dyDescent="0.3"/>
    <row r="557" s="7" customFormat="1" ht="14.25" customHeight="1" x14ac:dyDescent="0.3"/>
    <row r="558" s="7" customFormat="1" ht="14.25" customHeight="1" x14ac:dyDescent="0.3"/>
    <row r="559" s="7" customFormat="1" ht="14.25" customHeight="1" x14ac:dyDescent="0.3"/>
    <row r="560" s="7" customFormat="1" ht="14.25" customHeight="1" x14ac:dyDescent="0.3"/>
    <row r="561" s="7" customFormat="1" ht="14.25" customHeight="1" x14ac:dyDescent="0.3"/>
    <row r="562" s="7" customFormat="1" ht="14.25" customHeight="1" x14ac:dyDescent="0.3"/>
    <row r="563" s="7" customFormat="1" ht="14.25" customHeight="1" x14ac:dyDescent="0.3"/>
    <row r="564" s="7" customFormat="1" ht="14.25" customHeight="1" x14ac:dyDescent="0.3"/>
    <row r="565" s="7" customFormat="1" ht="14.25" customHeight="1" x14ac:dyDescent="0.3"/>
    <row r="566" s="7" customFormat="1" ht="14.25" customHeight="1" x14ac:dyDescent="0.3"/>
    <row r="567" s="7" customFormat="1" ht="14.25" customHeight="1" x14ac:dyDescent="0.3"/>
    <row r="568" s="7" customFormat="1" ht="14.25" customHeight="1" x14ac:dyDescent="0.3"/>
    <row r="569" s="7" customFormat="1" ht="14.25" customHeight="1" x14ac:dyDescent="0.3"/>
    <row r="570" s="7" customFormat="1" ht="14.25" customHeight="1" x14ac:dyDescent="0.3"/>
    <row r="571" s="7" customFormat="1" ht="14.25" customHeight="1" x14ac:dyDescent="0.3"/>
    <row r="572" s="7" customFormat="1" ht="14.25" customHeight="1" x14ac:dyDescent="0.3"/>
    <row r="573" s="7" customFormat="1" ht="14.25" customHeight="1" x14ac:dyDescent="0.3"/>
    <row r="574" s="7" customFormat="1" ht="14.25" customHeight="1" x14ac:dyDescent="0.3"/>
    <row r="575" s="7" customFormat="1" ht="14.25" customHeight="1" x14ac:dyDescent="0.3"/>
    <row r="576" s="7" customFormat="1" ht="14.25" customHeight="1" x14ac:dyDescent="0.3"/>
    <row r="577" s="7" customFormat="1" ht="14.25" customHeight="1" x14ac:dyDescent="0.3"/>
    <row r="578" s="7" customFormat="1" ht="14.25" customHeight="1" x14ac:dyDescent="0.3"/>
    <row r="579" s="7" customFormat="1" ht="14.25" customHeight="1" x14ac:dyDescent="0.3"/>
    <row r="580" s="7" customFormat="1" ht="14.25" customHeight="1" x14ac:dyDescent="0.3"/>
    <row r="581" s="7" customFormat="1" ht="14.25" customHeight="1" x14ac:dyDescent="0.3"/>
    <row r="582" s="7" customFormat="1" ht="14.25" customHeight="1" x14ac:dyDescent="0.3"/>
    <row r="583" s="7" customFormat="1" ht="14.25" customHeight="1" x14ac:dyDescent="0.3"/>
    <row r="584" s="7" customFormat="1" ht="14.25" customHeight="1" x14ac:dyDescent="0.3"/>
    <row r="585" s="7" customFormat="1" ht="14.25" customHeight="1" x14ac:dyDescent="0.3"/>
    <row r="586" s="7" customFormat="1" ht="14.25" customHeight="1" x14ac:dyDescent="0.3"/>
    <row r="587" s="7" customFormat="1" ht="14.25" customHeight="1" x14ac:dyDescent="0.3"/>
    <row r="588" s="7" customFormat="1" ht="14.25" customHeight="1" x14ac:dyDescent="0.3"/>
    <row r="589" s="7" customFormat="1" ht="14.25" customHeight="1" x14ac:dyDescent="0.3"/>
    <row r="590" s="7" customFormat="1" ht="14.25" customHeight="1" x14ac:dyDescent="0.3"/>
    <row r="591" s="7" customFormat="1" ht="14.25" customHeight="1" x14ac:dyDescent="0.3"/>
    <row r="592" s="7" customFormat="1" ht="14.25" customHeight="1" x14ac:dyDescent="0.3"/>
    <row r="593" s="7" customFormat="1" ht="14.25" customHeight="1" x14ac:dyDescent="0.3"/>
    <row r="594" s="7" customFormat="1" ht="14.25" customHeight="1" x14ac:dyDescent="0.3"/>
    <row r="595" s="7" customFormat="1" ht="14.25" customHeight="1" x14ac:dyDescent="0.3"/>
    <row r="596" s="7" customFormat="1" ht="14.25" customHeight="1" x14ac:dyDescent="0.3"/>
    <row r="597" s="7" customFormat="1" ht="14.25" customHeight="1" x14ac:dyDescent="0.3"/>
    <row r="598" s="7" customFormat="1" ht="14.25" customHeight="1" x14ac:dyDescent="0.3"/>
    <row r="599" s="7" customFormat="1" ht="14.25" customHeight="1" x14ac:dyDescent="0.3"/>
    <row r="600" s="7" customFormat="1" ht="14.25" customHeight="1" x14ac:dyDescent="0.3"/>
    <row r="601" s="7" customFormat="1" ht="14.25" customHeight="1" x14ac:dyDescent="0.3"/>
    <row r="602" s="7" customFormat="1" ht="14.25" customHeight="1" x14ac:dyDescent="0.3"/>
    <row r="603" s="7" customFormat="1" ht="14.25" customHeight="1" x14ac:dyDescent="0.3"/>
    <row r="604" s="7" customFormat="1" ht="14.25" customHeight="1" x14ac:dyDescent="0.3"/>
    <row r="605" s="7" customFormat="1" ht="14.25" customHeight="1" x14ac:dyDescent="0.3"/>
    <row r="606" s="7" customFormat="1" ht="14.25" customHeight="1" x14ac:dyDescent="0.3"/>
    <row r="607" s="7" customFormat="1" ht="14.25" customHeight="1" x14ac:dyDescent="0.3"/>
    <row r="608" s="7" customFormat="1" ht="14.25" customHeight="1" x14ac:dyDescent="0.3"/>
    <row r="609" s="7" customFormat="1" ht="14.25" customHeight="1" x14ac:dyDescent="0.3"/>
    <row r="610" s="7" customFormat="1" ht="14.25" customHeight="1" x14ac:dyDescent="0.3"/>
    <row r="611" s="7" customFormat="1" ht="14.25" customHeight="1" x14ac:dyDescent="0.3"/>
    <row r="612" s="7" customFormat="1" ht="14.25" customHeight="1" x14ac:dyDescent="0.3"/>
    <row r="613" s="7" customFormat="1" ht="14.25" customHeight="1" x14ac:dyDescent="0.3"/>
    <row r="614" s="7" customFormat="1" ht="14.25" customHeight="1" x14ac:dyDescent="0.3"/>
    <row r="615" s="7" customFormat="1" ht="14.25" customHeight="1" x14ac:dyDescent="0.3"/>
    <row r="616" s="7" customFormat="1" ht="14.25" customHeight="1" x14ac:dyDescent="0.3"/>
    <row r="617" s="7" customFormat="1" ht="14.25" customHeight="1" x14ac:dyDescent="0.3"/>
    <row r="618" s="7" customFormat="1" ht="14.25" customHeight="1" x14ac:dyDescent="0.3"/>
    <row r="619" s="7" customFormat="1" ht="14.25" customHeight="1" x14ac:dyDescent="0.3"/>
    <row r="620" s="7" customFormat="1" ht="14.25" customHeight="1" x14ac:dyDescent="0.3"/>
    <row r="621" s="7" customFormat="1" ht="14.25" customHeight="1" x14ac:dyDescent="0.3"/>
    <row r="622" s="7" customFormat="1" ht="14.25" customHeight="1" x14ac:dyDescent="0.3"/>
    <row r="623" s="7" customFormat="1" ht="14.25" customHeight="1" x14ac:dyDescent="0.3"/>
    <row r="624" s="7" customFormat="1" ht="14.25" customHeight="1" x14ac:dyDescent="0.3"/>
    <row r="625" s="7" customFormat="1" ht="14.25" customHeight="1" x14ac:dyDescent="0.3"/>
    <row r="626" s="7" customFormat="1" ht="14.25" customHeight="1" x14ac:dyDescent="0.3"/>
    <row r="627" s="7" customFormat="1" ht="14.25" customHeight="1" x14ac:dyDescent="0.3"/>
    <row r="628" s="7" customFormat="1" ht="14.25" customHeight="1" x14ac:dyDescent="0.3"/>
    <row r="629" s="7" customFormat="1" ht="14.25" customHeight="1" x14ac:dyDescent="0.3"/>
    <row r="630" s="7" customFormat="1" ht="14.25" customHeight="1" x14ac:dyDescent="0.3"/>
    <row r="631" s="7" customFormat="1" ht="14.25" customHeight="1" x14ac:dyDescent="0.3"/>
    <row r="632" s="7" customFormat="1" ht="14.25" customHeight="1" x14ac:dyDescent="0.3"/>
    <row r="633" s="7" customFormat="1" ht="14.25" customHeight="1" x14ac:dyDescent="0.3"/>
    <row r="634" s="7" customFormat="1" ht="14.25" customHeight="1" x14ac:dyDescent="0.3"/>
    <row r="635" s="7" customFormat="1" ht="14.25" customHeight="1" x14ac:dyDescent="0.3"/>
    <row r="636" s="7" customFormat="1" ht="14.25" customHeight="1" x14ac:dyDescent="0.3"/>
    <row r="637" s="7" customFormat="1" ht="14.25" customHeight="1" x14ac:dyDescent="0.3"/>
    <row r="638" s="7" customFormat="1" ht="14.25" customHeight="1" x14ac:dyDescent="0.3"/>
    <row r="639" s="7" customFormat="1" ht="14.25" customHeight="1" x14ac:dyDescent="0.3"/>
    <row r="640" s="7" customFormat="1" ht="14.25" customHeight="1" x14ac:dyDescent="0.3"/>
    <row r="641" s="7" customFormat="1" ht="14.25" customHeight="1" x14ac:dyDescent="0.3"/>
    <row r="642" s="7" customFormat="1" ht="14.25" customHeight="1" x14ac:dyDescent="0.3"/>
    <row r="643" s="7" customFormat="1" ht="14.25" customHeight="1" x14ac:dyDescent="0.3"/>
    <row r="644" s="7" customFormat="1" ht="14.25" customHeight="1" x14ac:dyDescent="0.3"/>
    <row r="645" s="7" customFormat="1" ht="14.25" customHeight="1" x14ac:dyDescent="0.3"/>
    <row r="646" s="7" customFormat="1" ht="14.25" customHeight="1" x14ac:dyDescent="0.3"/>
    <row r="647" s="7" customFormat="1" ht="14.25" customHeight="1" x14ac:dyDescent="0.3"/>
    <row r="648" s="7" customFormat="1" ht="14.25" customHeight="1" x14ac:dyDescent="0.3"/>
    <row r="649" s="7" customFormat="1" ht="14.25" customHeight="1" x14ac:dyDescent="0.3"/>
    <row r="650" s="7" customFormat="1" ht="14.25" customHeight="1" x14ac:dyDescent="0.3"/>
    <row r="651" s="7" customFormat="1" ht="14.25" customHeight="1" x14ac:dyDescent="0.3"/>
    <row r="652" s="7" customFormat="1" ht="14.25" customHeight="1" x14ac:dyDescent="0.3"/>
    <row r="653" s="7" customFormat="1" ht="14.25" customHeight="1" x14ac:dyDescent="0.3"/>
    <row r="654" s="7" customFormat="1" ht="14.25" customHeight="1" x14ac:dyDescent="0.3"/>
    <row r="655" s="7" customFormat="1" ht="14.25" customHeight="1" x14ac:dyDescent="0.3"/>
    <row r="656" s="7" customFormat="1" ht="14.25" customHeight="1" x14ac:dyDescent="0.3"/>
    <row r="657" s="7" customFormat="1" ht="14.25" customHeight="1" x14ac:dyDescent="0.3"/>
    <row r="658" s="7" customFormat="1" ht="14.25" customHeight="1" x14ac:dyDescent="0.3"/>
    <row r="659" s="7" customFormat="1" ht="14.25" customHeight="1" x14ac:dyDescent="0.3"/>
    <row r="660" s="7" customFormat="1" ht="14.25" customHeight="1" x14ac:dyDescent="0.3"/>
    <row r="661" s="7" customFormat="1" ht="14.25" customHeight="1" x14ac:dyDescent="0.3"/>
    <row r="662" s="7" customFormat="1" ht="14.25" customHeight="1" x14ac:dyDescent="0.3"/>
    <row r="663" s="7" customFormat="1" ht="14.25" customHeight="1" x14ac:dyDescent="0.3"/>
    <row r="664" s="7" customFormat="1" ht="14.25" customHeight="1" x14ac:dyDescent="0.3"/>
    <row r="665" s="7" customFormat="1" ht="14.25" customHeight="1" x14ac:dyDescent="0.3"/>
    <row r="666" s="7" customFormat="1" ht="14.25" customHeight="1" x14ac:dyDescent="0.3"/>
    <row r="667" s="7" customFormat="1" ht="14.25" customHeight="1" x14ac:dyDescent="0.3"/>
    <row r="668" s="7" customFormat="1" ht="14.25" customHeight="1" x14ac:dyDescent="0.3"/>
    <row r="669" s="7" customFormat="1" ht="14.25" customHeight="1" x14ac:dyDescent="0.3"/>
    <row r="670" s="7" customFormat="1" ht="14.25" customHeight="1" x14ac:dyDescent="0.3"/>
    <row r="671" s="7" customFormat="1" ht="14.25" customHeight="1" x14ac:dyDescent="0.3"/>
    <row r="672" s="7" customFormat="1" ht="14.25" customHeight="1" x14ac:dyDescent="0.3"/>
    <row r="673" s="7" customFormat="1" ht="14.25" customHeight="1" x14ac:dyDescent="0.3"/>
    <row r="674" s="7" customFormat="1" ht="14.25" customHeight="1" x14ac:dyDescent="0.3"/>
    <row r="675" s="7" customFormat="1" ht="14.25" customHeight="1" x14ac:dyDescent="0.3"/>
    <row r="676" s="7" customFormat="1" ht="14.25" customHeight="1" x14ac:dyDescent="0.3"/>
    <row r="677" s="7" customFormat="1" ht="14.25" customHeight="1" x14ac:dyDescent="0.3"/>
    <row r="678" s="7" customFormat="1" ht="14.25" customHeight="1" x14ac:dyDescent="0.3"/>
    <row r="679" s="7" customFormat="1" ht="14.25" customHeight="1" x14ac:dyDescent="0.3"/>
    <row r="680" s="7" customFormat="1" ht="14.25" customHeight="1" x14ac:dyDescent="0.3"/>
    <row r="681" s="7" customFormat="1" ht="14.25" customHeight="1" x14ac:dyDescent="0.3"/>
    <row r="682" s="7" customFormat="1" ht="14.25" customHeight="1" x14ac:dyDescent="0.3"/>
    <row r="683" s="7" customFormat="1" ht="14.25" customHeight="1" x14ac:dyDescent="0.3"/>
    <row r="684" s="7" customFormat="1" ht="14.25" customHeight="1" x14ac:dyDescent="0.3"/>
    <row r="685" s="7" customFormat="1" ht="14.25" customHeight="1" x14ac:dyDescent="0.3"/>
    <row r="686" s="7" customFormat="1" ht="14.25" customHeight="1" x14ac:dyDescent="0.3"/>
    <row r="687" s="7" customFormat="1" ht="14.25" customHeight="1" x14ac:dyDescent="0.3"/>
    <row r="688" s="7" customFormat="1" ht="14.25" customHeight="1" x14ac:dyDescent="0.3"/>
    <row r="689" s="7" customFormat="1" ht="14.25" customHeight="1" x14ac:dyDescent="0.3"/>
    <row r="690" s="7" customFormat="1" ht="14.25" customHeight="1" x14ac:dyDescent="0.3"/>
    <row r="691" s="7" customFormat="1" ht="14.25" customHeight="1" x14ac:dyDescent="0.3"/>
    <row r="692" s="7" customFormat="1" ht="14.25" customHeight="1" x14ac:dyDescent="0.3"/>
    <row r="693" s="7" customFormat="1" ht="14.25" customHeight="1" x14ac:dyDescent="0.3"/>
    <row r="694" s="7" customFormat="1" ht="14.25" customHeight="1" x14ac:dyDescent="0.3"/>
    <row r="695" s="7" customFormat="1" ht="14.25" customHeight="1" x14ac:dyDescent="0.3"/>
    <row r="696" s="7" customFormat="1" ht="14.25" customHeight="1" x14ac:dyDescent="0.3"/>
    <row r="697" s="7" customFormat="1" ht="14.25" customHeight="1" x14ac:dyDescent="0.3"/>
    <row r="698" s="7" customFormat="1" ht="14.25" customHeight="1" x14ac:dyDescent="0.3"/>
    <row r="699" s="7" customFormat="1" ht="14.25" customHeight="1" x14ac:dyDescent="0.3"/>
    <row r="700" s="7" customFormat="1" ht="14.25" customHeight="1" x14ac:dyDescent="0.3"/>
    <row r="701" s="7" customFormat="1" ht="14.25" customHeight="1" x14ac:dyDescent="0.3"/>
    <row r="702" s="7" customFormat="1" ht="14.25" customHeight="1" x14ac:dyDescent="0.3"/>
    <row r="703" s="7" customFormat="1" ht="14.25" customHeight="1" x14ac:dyDescent="0.3"/>
    <row r="704" s="7" customFormat="1" ht="14.25" customHeight="1" x14ac:dyDescent="0.3"/>
    <row r="705" s="7" customFormat="1" ht="14.25" customHeight="1" x14ac:dyDescent="0.3"/>
    <row r="706" s="7" customFormat="1" ht="14.25" customHeight="1" x14ac:dyDescent="0.3"/>
    <row r="707" s="7" customFormat="1" ht="14.25" customHeight="1" x14ac:dyDescent="0.3"/>
    <row r="708" s="7" customFormat="1" ht="14.25" customHeight="1" x14ac:dyDescent="0.3"/>
    <row r="709" s="7" customFormat="1" ht="14.25" customHeight="1" x14ac:dyDescent="0.3"/>
    <row r="710" s="7" customFormat="1" ht="14.25" customHeight="1" x14ac:dyDescent="0.3"/>
    <row r="711" s="7" customFormat="1" ht="14.25" customHeight="1" x14ac:dyDescent="0.3"/>
    <row r="712" s="7" customFormat="1" ht="14.25" customHeight="1" x14ac:dyDescent="0.3"/>
    <row r="713" s="7" customFormat="1" ht="14.25" customHeight="1" x14ac:dyDescent="0.3"/>
    <row r="714" s="7" customFormat="1" ht="14.25" customHeight="1" x14ac:dyDescent="0.3"/>
    <row r="715" s="7" customFormat="1" ht="14.25" customHeight="1" x14ac:dyDescent="0.3"/>
    <row r="716" s="7" customFormat="1" ht="14.25" customHeight="1" x14ac:dyDescent="0.3"/>
    <row r="717" s="7" customFormat="1" ht="14.25" customHeight="1" x14ac:dyDescent="0.3"/>
    <row r="718" s="7" customFormat="1" ht="14.25" customHeight="1" x14ac:dyDescent="0.3"/>
    <row r="719" s="7" customFormat="1" ht="14.25" customHeight="1" x14ac:dyDescent="0.3"/>
    <row r="720" s="7" customFormat="1" ht="14.25" customHeight="1" x14ac:dyDescent="0.3"/>
    <row r="721" s="7" customFormat="1" ht="14.25" customHeight="1" x14ac:dyDescent="0.3"/>
    <row r="722" s="7" customFormat="1" ht="14.25" customHeight="1" x14ac:dyDescent="0.3"/>
    <row r="723" s="7" customFormat="1" ht="14.25" customHeight="1" x14ac:dyDescent="0.3"/>
    <row r="724" s="7" customFormat="1" ht="14.25" customHeight="1" x14ac:dyDescent="0.3"/>
    <row r="725" s="7" customFormat="1" ht="14.25" customHeight="1" x14ac:dyDescent="0.3"/>
    <row r="726" s="7" customFormat="1" ht="14.25" customHeight="1" x14ac:dyDescent="0.3"/>
    <row r="727" s="7" customFormat="1" ht="14.25" customHeight="1" x14ac:dyDescent="0.3"/>
    <row r="728" s="7" customFormat="1" ht="14.25" customHeight="1" x14ac:dyDescent="0.3"/>
    <row r="729" s="7" customFormat="1" ht="14.25" customHeight="1" x14ac:dyDescent="0.3"/>
    <row r="730" s="7" customFormat="1" ht="14.25" customHeight="1" x14ac:dyDescent="0.3"/>
    <row r="731" s="7" customFormat="1" ht="14.25" customHeight="1" x14ac:dyDescent="0.3"/>
    <row r="732" s="7" customFormat="1" ht="14.25" customHeight="1" x14ac:dyDescent="0.3"/>
    <row r="733" s="7" customFormat="1" ht="14.25" customHeight="1" x14ac:dyDescent="0.3"/>
    <row r="734" s="7" customFormat="1" ht="14.25" customHeight="1" x14ac:dyDescent="0.3"/>
    <row r="735" s="7" customFormat="1" ht="14.25" customHeight="1" x14ac:dyDescent="0.3"/>
    <row r="736" s="7" customFormat="1" ht="14.25" customHeight="1" x14ac:dyDescent="0.3"/>
    <row r="737" s="7" customFormat="1" ht="14.25" customHeight="1" x14ac:dyDescent="0.3"/>
    <row r="738" s="7" customFormat="1" ht="14.25" customHeight="1" x14ac:dyDescent="0.3"/>
    <row r="739" s="7" customFormat="1" ht="14.25" customHeight="1" x14ac:dyDescent="0.3"/>
    <row r="740" s="7" customFormat="1" ht="14.25" customHeight="1" x14ac:dyDescent="0.3"/>
    <row r="741" s="7" customFormat="1" ht="14.25" customHeight="1" x14ac:dyDescent="0.3"/>
    <row r="742" s="7" customFormat="1" ht="14.25" customHeight="1" x14ac:dyDescent="0.3"/>
    <row r="743" s="7" customFormat="1" ht="14.25" customHeight="1" x14ac:dyDescent="0.3"/>
    <row r="744" s="7" customFormat="1" ht="14.25" customHeight="1" x14ac:dyDescent="0.3"/>
    <row r="745" s="7" customFormat="1" ht="14.25" customHeight="1" x14ac:dyDescent="0.3"/>
    <row r="746" s="7" customFormat="1" ht="14.25" customHeight="1" x14ac:dyDescent="0.3"/>
    <row r="747" s="7" customFormat="1" ht="14.25" customHeight="1" x14ac:dyDescent="0.3"/>
    <row r="748" s="7" customFormat="1" ht="14.25" customHeight="1" x14ac:dyDescent="0.3"/>
    <row r="749" s="7" customFormat="1" ht="14.25" customHeight="1" x14ac:dyDescent="0.3"/>
    <row r="750" s="7" customFormat="1" ht="14.25" customHeight="1" x14ac:dyDescent="0.3"/>
    <row r="751" s="7" customFormat="1" ht="14.25" customHeight="1" x14ac:dyDescent="0.3"/>
    <row r="752" s="7" customFormat="1" ht="14.25" customHeight="1" x14ac:dyDescent="0.3"/>
    <row r="753" s="7" customFormat="1" ht="14.25" customHeight="1" x14ac:dyDescent="0.3"/>
    <row r="754" s="7" customFormat="1" ht="14.25" customHeight="1" x14ac:dyDescent="0.3"/>
    <row r="755" s="7" customFormat="1" ht="14.25" customHeight="1" x14ac:dyDescent="0.3"/>
    <row r="756" s="7" customFormat="1" ht="14.25" customHeight="1" x14ac:dyDescent="0.3"/>
    <row r="757" s="7" customFormat="1" ht="14.25" customHeight="1" x14ac:dyDescent="0.3"/>
    <row r="758" s="7" customFormat="1" ht="14.25" customHeight="1" x14ac:dyDescent="0.3"/>
    <row r="759" s="7" customFormat="1" ht="14.25" customHeight="1" x14ac:dyDescent="0.3"/>
    <row r="760" s="7" customFormat="1" ht="14.25" customHeight="1" x14ac:dyDescent="0.3"/>
    <row r="761" s="7" customFormat="1" ht="14.25" customHeight="1" x14ac:dyDescent="0.3"/>
    <row r="762" s="7" customFormat="1" ht="14.25" customHeight="1" x14ac:dyDescent="0.3"/>
    <row r="763" s="7" customFormat="1" ht="14.25" customHeight="1" x14ac:dyDescent="0.3"/>
    <row r="764" s="7" customFormat="1" ht="14.25" customHeight="1" x14ac:dyDescent="0.3"/>
    <row r="765" s="7" customFormat="1" ht="14.25" customHeight="1" x14ac:dyDescent="0.3"/>
    <row r="766" s="7" customFormat="1" ht="14.25" customHeight="1" x14ac:dyDescent="0.3"/>
    <row r="767" s="7" customFormat="1" ht="14.25" customHeight="1" x14ac:dyDescent="0.3"/>
    <row r="768" s="7" customFormat="1" ht="14.25" customHeight="1" x14ac:dyDescent="0.3"/>
    <row r="769" s="7" customFormat="1" ht="14.25" customHeight="1" x14ac:dyDescent="0.3"/>
    <row r="770" s="7" customFormat="1" ht="14.25" customHeight="1" x14ac:dyDescent="0.3"/>
    <row r="771" s="7" customFormat="1" ht="14.25" customHeight="1" x14ac:dyDescent="0.3"/>
    <row r="772" s="7" customFormat="1" ht="14.25" customHeight="1" x14ac:dyDescent="0.3"/>
    <row r="773" s="7" customFormat="1" ht="14.25" customHeight="1" x14ac:dyDescent="0.3"/>
    <row r="774" s="7" customFormat="1" ht="14.25" customHeight="1" x14ac:dyDescent="0.3"/>
    <row r="775" s="7" customFormat="1" ht="14.25" customHeight="1" x14ac:dyDescent="0.3"/>
    <row r="776" s="7" customFormat="1" ht="14.25" customHeight="1" x14ac:dyDescent="0.3"/>
    <row r="777" s="7" customFormat="1" ht="14.25" customHeight="1" x14ac:dyDescent="0.3"/>
    <row r="778" s="7" customFormat="1" ht="14.25" customHeight="1" x14ac:dyDescent="0.3"/>
    <row r="779" s="7" customFormat="1" ht="14.25" customHeight="1" x14ac:dyDescent="0.3"/>
    <row r="780" s="7" customFormat="1" ht="14.25" customHeight="1" x14ac:dyDescent="0.3"/>
    <row r="781" s="7" customFormat="1" ht="14.25" customHeight="1" x14ac:dyDescent="0.3"/>
    <row r="782" s="7" customFormat="1" ht="14.25" customHeight="1" x14ac:dyDescent="0.3"/>
    <row r="783" s="7" customFormat="1" ht="14.25" customHeight="1" x14ac:dyDescent="0.3"/>
    <row r="784" s="7" customFormat="1" ht="14.25" customHeight="1" x14ac:dyDescent="0.3"/>
    <row r="785" s="7" customFormat="1" ht="14.25" customHeight="1" x14ac:dyDescent="0.3"/>
    <row r="786" s="7" customFormat="1" ht="14.25" customHeight="1" x14ac:dyDescent="0.3"/>
    <row r="787" s="7" customFormat="1" ht="14.25" customHeight="1" x14ac:dyDescent="0.3"/>
    <row r="788" s="7" customFormat="1" ht="14.25" customHeight="1" x14ac:dyDescent="0.3"/>
    <row r="789" s="7" customFormat="1" ht="14.25" customHeight="1" x14ac:dyDescent="0.3"/>
    <row r="790" s="7" customFormat="1" ht="14.25" customHeight="1" x14ac:dyDescent="0.3"/>
    <row r="791" s="7" customFormat="1" ht="14.25" customHeight="1" x14ac:dyDescent="0.3"/>
    <row r="792" s="7" customFormat="1" ht="14.25" customHeight="1" x14ac:dyDescent="0.3"/>
    <row r="793" s="7" customFormat="1" ht="14.25" customHeight="1" x14ac:dyDescent="0.3"/>
    <row r="794" s="7" customFormat="1" ht="14.25" customHeight="1" x14ac:dyDescent="0.3"/>
    <row r="795" s="7" customFormat="1" ht="14.25" customHeight="1" x14ac:dyDescent="0.3"/>
    <row r="796" s="7" customFormat="1" ht="14.25" customHeight="1" x14ac:dyDescent="0.3"/>
    <row r="797" s="7" customFormat="1" ht="14.25" customHeight="1" x14ac:dyDescent="0.3"/>
    <row r="798" s="7" customFormat="1" ht="14.25" customHeight="1" x14ac:dyDescent="0.3"/>
    <row r="799" s="7" customFormat="1" ht="14.25" customHeight="1" x14ac:dyDescent="0.3"/>
    <row r="800" s="7" customFormat="1" ht="14.25" customHeight="1" x14ac:dyDescent="0.3"/>
    <row r="801" s="7" customFormat="1" ht="14.25" customHeight="1" x14ac:dyDescent="0.3"/>
    <row r="802" s="7" customFormat="1" ht="14.25" customHeight="1" x14ac:dyDescent="0.3"/>
    <row r="803" s="7" customFormat="1" ht="14.25" customHeight="1" x14ac:dyDescent="0.3"/>
    <row r="804" s="7" customFormat="1" ht="14.25" customHeight="1" x14ac:dyDescent="0.3"/>
    <row r="805" s="7" customFormat="1" ht="14.25" customHeight="1" x14ac:dyDescent="0.3"/>
    <row r="806" s="7" customFormat="1" ht="14.25" customHeight="1" x14ac:dyDescent="0.3"/>
    <row r="807" s="7" customFormat="1" ht="14.25" customHeight="1" x14ac:dyDescent="0.3"/>
    <row r="808" s="7" customFormat="1" ht="14.25" customHeight="1" x14ac:dyDescent="0.3"/>
    <row r="809" s="7" customFormat="1" ht="14.25" customHeight="1" x14ac:dyDescent="0.3"/>
    <row r="810" s="7" customFormat="1" ht="14.25" customHeight="1" x14ac:dyDescent="0.3"/>
    <row r="811" s="7" customFormat="1" ht="14.25" customHeight="1" x14ac:dyDescent="0.3"/>
    <row r="812" s="7" customFormat="1" ht="14.25" customHeight="1" x14ac:dyDescent="0.3"/>
    <row r="813" s="7" customFormat="1" ht="14.25" customHeight="1" x14ac:dyDescent="0.3"/>
    <row r="814" s="7" customFormat="1" ht="14.25" customHeight="1" x14ac:dyDescent="0.3"/>
    <row r="815" s="7" customFormat="1" ht="14.25" customHeight="1" x14ac:dyDescent="0.3"/>
    <row r="816" s="7" customFormat="1" ht="14.25" customHeight="1" x14ac:dyDescent="0.3"/>
    <row r="817" s="7" customFormat="1" ht="14.25" customHeight="1" x14ac:dyDescent="0.3"/>
    <row r="818" s="7" customFormat="1" ht="14.25" customHeight="1" x14ac:dyDescent="0.3"/>
    <row r="819" s="7" customFormat="1" ht="14.25" customHeight="1" x14ac:dyDescent="0.3"/>
    <row r="820" s="7" customFormat="1" ht="14.25" customHeight="1" x14ac:dyDescent="0.3"/>
    <row r="821" s="7" customFormat="1" ht="14.25" customHeight="1" x14ac:dyDescent="0.3"/>
    <row r="822" s="7" customFormat="1" ht="14.25" customHeight="1" x14ac:dyDescent="0.3"/>
    <row r="823" s="7" customFormat="1" ht="14.25" customHeight="1" x14ac:dyDescent="0.3"/>
    <row r="824" s="7" customFormat="1" ht="14.25" customHeight="1" x14ac:dyDescent="0.3"/>
    <row r="825" s="7" customFormat="1" ht="14.25" customHeight="1" x14ac:dyDescent="0.3"/>
    <row r="826" s="7" customFormat="1" ht="14.25" customHeight="1" x14ac:dyDescent="0.3"/>
    <row r="827" s="7" customFormat="1" ht="14.25" customHeight="1" x14ac:dyDescent="0.3"/>
    <row r="828" s="7" customFormat="1" ht="14.25" customHeight="1" x14ac:dyDescent="0.3"/>
    <row r="829" s="7" customFormat="1" ht="14.25" customHeight="1" x14ac:dyDescent="0.3"/>
    <row r="830" s="7" customFormat="1" ht="14.25" customHeight="1" x14ac:dyDescent="0.3"/>
    <row r="831" s="7" customFormat="1" ht="14.25" customHeight="1" x14ac:dyDescent="0.3"/>
    <row r="832" s="7" customFormat="1" ht="14.25" customHeight="1" x14ac:dyDescent="0.3"/>
    <row r="833" s="7" customFormat="1" ht="14.25" customHeight="1" x14ac:dyDescent="0.3"/>
    <row r="834" s="7" customFormat="1" ht="14.25" customHeight="1" x14ac:dyDescent="0.3"/>
    <row r="835" s="7" customFormat="1" ht="14.25" customHeight="1" x14ac:dyDescent="0.3"/>
    <row r="836" s="7" customFormat="1" ht="14.25" customHeight="1" x14ac:dyDescent="0.3"/>
    <row r="837" s="7" customFormat="1" ht="14.25" customHeight="1" x14ac:dyDescent="0.3"/>
    <row r="838" s="7" customFormat="1" ht="14.25" customHeight="1" x14ac:dyDescent="0.3"/>
    <row r="839" s="7" customFormat="1" ht="14.25" customHeight="1" x14ac:dyDescent="0.3"/>
    <row r="840" s="7" customFormat="1" ht="14.25" customHeight="1" x14ac:dyDescent="0.3"/>
    <row r="841" s="7" customFormat="1" ht="14.25" customHeight="1" x14ac:dyDescent="0.3"/>
    <row r="842" s="7" customFormat="1" ht="14.25" customHeight="1" x14ac:dyDescent="0.3"/>
    <row r="843" s="7" customFormat="1" ht="14.25" customHeight="1" x14ac:dyDescent="0.3"/>
    <row r="844" s="7" customFormat="1" ht="14.25" customHeight="1" x14ac:dyDescent="0.3"/>
    <row r="845" s="7" customFormat="1" ht="14.25" customHeight="1" x14ac:dyDescent="0.3"/>
    <row r="846" s="7" customFormat="1" ht="14.25" customHeight="1" x14ac:dyDescent="0.3"/>
    <row r="847" s="7" customFormat="1" ht="14.25" customHeight="1" x14ac:dyDescent="0.3"/>
    <row r="848" s="7" customFormat="1" ht="14.25" customHeight="1" x14ac:dyDescent="0.3"/>
    <row r="849" s="7" customFormat="1" ht="14.25" customHeight="1" x14ac:dyDescent="0.3"/>
    <row r="850" s="7" customFormat="1" ht="14.25" customHeight="1" x14ac:dyDescent="0.3"/>
    <row r="851" s="7" customFormat="1" ht="14.25" customHeight="1" x14ac:dyDescent="0.3"/>
    <row r="852" s="7" customFormat="1" ht="14.25" customHeight="1" x14ac:dyDescent="0.3"/>
    <row r="853" s="7" customFormat="1" ht="14.25" customHeight="1" x14ac:dyDescent="0.3"/>
    <row r="854" s="7" customFormat="1" ht="14.25" customHeight="1" x14ac:dyDescent="0.3"/>
    <row r="855" s="7" customFormat="1" ht="14.25" customHeight="1" x14ac:dyDescent="0.3"/>
    <row r="856" s="7" customFormat="1" ht="14.25" customHeight="1" x14ac:dyDescent="0.3"/>
    <row r="857" s="7" customFormat="1" ht="14.25" customHeight="1" x14ac:dyDescent="0.3"/>
    <row r="858" s="7" customFormat="1" ht="14.25" customHeight="1" x14ac:dyDescent="0.3"/>
    <row r="859" s="7" customFormat="1" ht="14.25" customHeight="1" x14ac:dyDescent="0.3"/>
    <row r="860" s="7" customFormat="1" ht="14.25" customHeight="1" x14ac:dyDescent="0.3"/>
    <row r="861" s="7" customFormat="1" ht="14.25" customHeight="1" x14ac:dyDescent="0.3"/>
    <row r="862" s="7" customFormat="1" ht="14.25" customHeight="1" x14ac:dyDescent="0.3"/>
    <row r="863" s="7" customFormat="1" ht="14.25" customHeight="1" x14ac:dyDescent="0.3"/>
    <row r="864" s="7" customFormat="1" ht="14.25" customHeight="1" x14ac:dyDescent="0.3"/>
    <row r="865" s="7" customFormat="1" ht="14.25" customHeight="1" x14ac:dyDescent="0.3"/>
    <row r="866" s="7" customFormat="1" ht="14.25" customHeight="1" x14ac:dyDescent="0.3"/>
    <row r="867" s="7" customFormat="1" ht="14.25" customHeight="1" x14ac:dyDescent="0.3"/>
    <row r="868" s="7" customFormat="1" ht="14.25" customHeight="1" x14ac:dyDescent="0.3"/>
    <row r="869" s="7" customFormat="1" ht="14.25" customHeight="1" x14ac:dyDescent="0.3"/>
    <row r="870" s="7" customFormat="1" ht="14.25" customHeight="1" x14ac:dyDescent="0.3"/>
    <row r="871" s="7" customFormat="1" ht="14.25" customHeight="1" x14ac:dyDescent="0.3"/>
    <row r="872" s="7" customFormat="1" ht="14.25" customHeight="1" x14ac:dyDescent="0.3"/>
    <row r="873" s="7" customFormat="1" ht="14.25" customHeight="1" x14ac:dyDescent="0.3"/>
    <row r="874" s="7" customFormat="1" ht="14.25" customHeight="1" x14ac:dyDescent="0.3"/>
    <row r="875" s="7" customFormat="1" ht="14.25" customHeight="1" x14ac:dyDescent="0.3"/>
    <row r="876" s="7" customFormat="1" ht="14.25" customHeight="1" x14ac:dyDescent="0.3"/>
    <row r="877" s="7" customFormat="1" ht="14.25" customHeight="1" x14ac:dyDescent="0.3"/>
    <row r="878" s="7" customFormat="1" ht="14.25" customHeight="1" x14ac:dyDescent="0.3"/>
    <row r="879" s="7" customFormat="1" ht="14.25" customHeight="1" x14ac:dyDescent="0.3"/>
    <row r="880" s="7" customFormat="1" ht="14.25" customHeight="1" x14ac:dyDescent="0.3"/>
    <row r="881" s="7" customFormat="1" ht="14.25" customHeight="1" x14ac:dyDescent="0.3"/>
    <row r="882" s="7" customFormat="1" ht="14.25" customHeight="1" x14ac:dyDescent="0.3"/>
    <row r="883" s="7" customFormat="1" ht="14.25" customHeight="1" x14ac:dyDescent="0.3"/>
    <row r="884" s="7" customFormat="1" ht="14.25" customHeight="1" x14ac:dyDescent="0.3"/>
    <row r="885" s="7" customFormat="1" ht="14.25" customHeight="1" x14ac:dyDescent="0.3"/>
    <row r="886" s="7" customFormat="1" ht="14.25" customHeight="1" x14ac:dyDescent="0.3"/>
    <row r="887" s="7" customFormat="1" ht="14.25" customHeight="1" x14ac:dyDescent="0.3"/>
    <row r="888" s="7" customFormat="1" ht="14.25" customHeight="1" x14ac:dyDescent="0.3"/>
    <row r="889" s="7" customFormat="1" ht="14.25" customHeight="1" x14ac:dyDescent="0.3"/>
    <row r="890" s="7" customFormat="1" ht="14.25" customHeight="1" x14ac:dyDescent="0.3"/>
    <row r="891" s="7" customFormat="1" ht="14.25" customHeight="1" x14ac:dyDescent="0.3"/>
    <row r="892" s="7" customFormat="1" ht="14.25" customHeight="1" x14ac:dyDescent="0.3"/>
    <row r="893" s="7" customFormat="1" ht="14.25" customHeight="1" x14ac:dyDescent="0.3"/>
    <row r="894" s="7" customFormat="1" ht="14.25" customHeight="1" x14ac:dyDescent="0.3"/>
    <row r="895" s="7" customFormat="1" ht="14.25" customHeight="1" x14ac:dyDescent="0.3"/>
    <row r="896" s="7" customFormat="1" ht="14.25" customHeight="1" x14ac:dyDescent="0.3"/>
    <row r="897" s="7" customFormat="1" ht="14.25" customHeight="1" x14ac:dyDescent="0.3"/>
    <row r="898" s="7" customFormat="1" ht="14.25" customHeight="1" x14ac:dyDescent="0.3"/>
    <row r="899" s="7" customFormat="1" ht="14.25" customHeight="1" x14ac:dyDescent="0.3"/>
    <row r="900" s="7" customFormat="1" ht="14.25" customHeight="1" x14ac:dyDescent="0.3"/>
    <row r="901" s="7" customFormat="1" ht="14.25" customHeight="1" x14ac:dyDescent="0.3"/>
    <row r="902" s="7" customFormat="1" ht="14.25" customHeight="1" x14ac:dyDescent="0.3"/>
    <row r="903" s="7" customFormat="1" ht="14.25" customHeight="1" x14ac:dyDescent="0.3"/>
    <row r="904" s="7" customFormat="1" ht="14.25" customHeight="1" x14ac:dyDescent="0.3"/>
    <row r="905" s="7" customFormat="1" ht="14.25" customHeight="1" x14ac:dyDescent="0.3"/>
    <row r="906" s="7" customFormat="1" ht="14.25" customHeight="1" x14ac:dyDescent="0.3"/>
    <row r="907" s="7" customFormat="1" ht="14.25" customHeight="1" x14ac:dyDescent="0.3"/>
    <row r="908" s="7" customFormat="1" ht="14.25" customHeight="1" x14ac:dyDescent="0.3"/>
    <row r="909" s="7" customFormat="1" ht="14.25" customHeight="1" x14ac:dyDescent="0.3"/>
    <row r="910" s="7" customFormat="1" ht="14.25" customHeight="1" x14ac:dyDescent="0.3"/>
    <row r="911" s="7" customFormat="1" ht="14.25" customHeight="1" x14ac:dyDescent="0.3"/>
    <row r="912" s="7" customFormat="1" ht="14.25" customHeight="1" x14ac:dyDescent="0.3"/>
    <row r="913" s="7" customFormat="1" ht="14.25" customHeight="1" x14ac:dyDescent="0.3"/>
    <row r="914" s="7" customFormat="1" ht="14.25" customHeight="1" x14ac:dyDescent="0.3"/>
    <row r="915" s="7" customFormat="1" ht="14.25" customHeight="1" x14ac:dyDescent="0.3"/>
    <row r="916" s="7" customFormat="1" ht="14.25" customHeight="1" x14ac:dyDescent="0.3"/>
    <row r="917" s="7" customFormat="1" ht="14.25" customHeight="1" x14ac:dyDescent="0.3"/>
    <row r="918" s="7" customFormat="1" ht="14.25" customHeight="1" x14ac:dyDescent="0.3"/>
    <row r="919" s="7" customFormat="1" ht="14.25" customHeight="1" x14ac:dyDescent="0.3"/>
    <row r="920" s="7" customFormat="1" ht="14.25" customHeight="1" x14ac:dyDescent="0.3"/>
    <row r="921" s="7" customFormat="1" ht="14.25" customHeight="1" x14ac:dyDescent="0.3"/>
    <row r="922" s="7" customFormat="1" ht="14.25" customHeight="1" x14ac:dyDescent="0.3"/>
    <row r="923" s="7" customFormat="1" ht="14.25" customHeight="1" x14ac:dyDescent="0.3"/>
    <row r="924" s="7" customFormat="1" ht="14.25" customHeight="1" x14ac:dyDescent="0.3"/>
    <row r="925" s="7" customFormat="1" ht="14.25" customHeight="1" x14ac:dyDescent="0.3"/>
    <row r="926" s="7" customFormat="1" ht="14.25" customHeight="1" x14ac:dyDescent="0.3"/>
    <row r="927" s="7" customFormat="1" ht="14.25" customHeight="1" x14ac:dyDescent="0.3"/>
    <row r="928" s="7" customFormat="1" ht="14.25" customHeight="1" x14ac:dyDescent="0.3"/>
    <row r="929" s="7" customFormat="1" ht="14.25" customHeight="1" x14ac:dyDescent="0.3"/>
    <row r="930" s="7" customFormat="1" ht="14.25" customHeight="1" x14ac:dyDescent="0.3"/>
    <row r="931" s="7" customFormat="1" ht="14.25" customHeight="1" x14ac:dyDescent="0.3"/>
    <row r="932" s="7" customFormat="1" ht="14.25" customHeight="1" x14ac:dyDescent="0.3"/>
    <row r="933" s="7" customFormat="1" ht="14.25" customHeight="1" x14ac:dyDescent="0.3"/>
    <row r="934" s="7" customFormat="1" ht="14.25" customHeight="1" x14ac:dyDescent="0.3"/>
    <row r="935" s="7" customFormat="1" ht="14.25" customHeight="1" x14ac:dyDescent="0.3"/>
    <row r="936" s="7" customFormat="1" ht="14.25" customHeight="1" x14ac:dyDescent="0.3"/>
    <row r="937" s="7" customFormat="1" ht="14.25" customHeight="1" x14ac:dyDescent="0.3"/>
    <row r="938" s="7" customFormat="1" ht="14.25" customHeight="1" x14ac:dyDescent="0.3"/>
    <row r="939" s="7" customFormat="1" ht="14.25" customHeight="1" x14ac:dyDescent="0.3"/>
    <row r="940" s="7" customFormat="1" ht="14.25" customHeight="1" x14ac:dyDescent="0.3"/>
    <row r="941" s="7" customFormat="1" ht="14.25" customHeight="1" x14ac:dyDescent="0.3"/>
    <row r="942" s="7" customFormat="1" ht="14.25" customHeight="1" x14ac:dyDescent="0.3"/>
    <row r="943" s="7" customFormat="1" ht="14.25" customHeight="1" x14ac:dyDescent="0.3"/>
    <row r="944" s="7" customFormat="1" ht="14.25" customHeight="1" x14ac:dyDescent="0.3"/>
    <row r="945" s="7" customFormat="1" ht="14.25" customHeight="1" x14ac:dyDescent="0.3"/>
    <row r="946" s="7" customFormat="1" ht="14.25" customHeight="1" x14ac:dyDescent="0.3"/>
    <row r="947" s="7" customFormat="1" ht="14.25" customHeight="1" x14ac:dyDescent="0.3"/>
    <row r="948" s="7" customFormat="1" ht="14.25" customHeight="1" x14ac:dyDescent="0.3"/>
    <row r="949" s="7" customFormat="1" ht="14.25" customHeight="1" x14ac:dyDescent="0.3"/>
    <row r="950" s="7" customFormat="1" ht="14.25" customHeight="1" x14ac:dyDescent="0.3"/>
    <row r="951" s="7" customFormat="1" ht="14.25" customHeight="1" x14ac:dyDescent="0.3"/>
    <row r="952" s="7" customFormat="1" ht="14.25" customHeight="1" x14ac:dyDescent="0.3"/>
    <row r="953" s="7" customFormat="1" ht="14.25" customHeight="1" x14ac:dyDescent="0.3"/>
    <row r="954" s="7" customFormat="1" ht="14.25" customHeight="1" x14ac:dyDescent="0.3"/>
    <row r="955" s="7" customFormat="1" ht="14.25" customHeight="1" x14ac:dyDescent="0.3"/>
    <row r="956" s="7" customFormat="1" ht="14.25" customHeight="1" x14ac:dyDescent="0.3"/>
    <row r="957" s="7" customFormat="1" ht="14.25" customHeight="1" x14ac:dyDescent="0.3"/>
    <row r="958" s="7" customFormat="1" ht="14.25" customHeight="1" x14ac:dyDescent="0.3"/>
    <row r="959" s="7" customFormat="1" ht="14.25" customHeight="1" x14ac:dyDescent="0.3"/>
    <row r="960" s="7" customFormat="1" ht="14.25" customHeight="1" x14ac:dyDescent="0.3"/>
    <row r="961" s="7" customFormat="1" ht="14.25" customHeight="1" x14ac:dyDescent="0.3"/>
    <row r="962" s="7" customFormat="1" ht="14.25" customHeight="1" x14ac:dyDescent="0.3"/>
    <row r="963" s="7" customFormat="1" ht="14.25" customHeight="1" x14ac:dyDescent="0.3"/>
    <row r="964" s="7" customFormat="1" ht="14.25" customHeight="1" x14ac:dyDescent="0.3"/>
    <row r="965" s="7" customFormat="1" ht="14.25" customHeight="1" x14ac:dyDescent="0.3"/>
    <row r="966" s="7" customFormat="1" ht="14.25" customHeight="1" x14ac:dyDescent="0.3"/>
    <row r="967" s="7" customFormat="1" ht="14.25" customHeight="1" x14ac:dyDescent="0.3"/>
    <row r="968" s="7" customFormat="1" ht="14.25" customHeight="1" x14ac:dyDescent="0.3"/>
    <row r="969" s="7" customFormat="1" ht="14.25" customHeight="1" x14ac:dyDescent="0.3"/>
    <row r="970" s="7" customFormat="1" ht="14.25" customHeight="1" x14ac:dyDescent="0.3"/>
    <row r="971" s="7" customFormat="1" ht="14.25" customHeight="1" x14ac:dyDescent="0.3"/>
    <row r="972" s="7" customFormat="1" ht="14.25" customHeight="1" x14ac:dyDescent="0.3"/>
    <row r="973" s="7" customFormat="1" ht="14.25" customHeight="1" x14ac:dyDescent="0.3"/>
    <row r="974" s="7" customFormat="1" ht="14.25" customHeight="1" x14ac:dyDescent="0.3"/>
    <row r="975" s="7" customFormat="1" ht="14.25" customHeight="1" x14ac:dyDescent="0.3"/>
    <row r="976" s="7" customFormat="1" ht="14.25" customHeight="1" x14ac:dyDescent="0.3"/>
    <row r="977" s="7" customFormat="1" ht="14.25" customHeight="1" x14ac:dyDescent="0.3"/>
    <row r="978" s="7" customFormat="1" ht="14.25" customHeight="1" x14ac:dyDescent="0.3"/>
    <row r="979" s="7" customFormat="1" ht="14.25" customHeight="1" x14ac:dyDescent="0.3"/>
    <row r="980" s="7" customFormat="1" ht="14.25" customHeight="1" x14ac:dyDescent="0.3"/>
    <row r="981" s="7" customFormat="1" ht="14.25" customHeight="1" x14ac:dyDescent="0.3"/>
    <row r="982" s="7" customFormat="1" ht="14.25" customHeight="1" x14ac:dyDescent="0.3"/>
    <row r="983" s="7" customFormat="1" ht="14.25" customHeight="1" x14ac:dyDescent="0.3"/>
    <row r="984" s="7" customFormat="1" ht="14.25" customHeight="1" x14ac:dyDescent="0.3"/>
    <row r="985" s="7" customFormat="1" ht="14.25" customHeight="1" x14ac:dyDescent="0.3"/>
    <row r="986" s="7" customFormat="1" ht="14.25" customHeight="1" x14ac:dyDescent="0.3"/>
    <row r="987" s="7" customFormat="1" ht="14.25" customHeight="1" x14ac:dyDescent="0.3"/>
    <row r="988" s="7" customFormat="1" ht="14.25" customHeight="1" x14ac:dyDescent="0.3"/>
    <row r="989" s="7" customFormat="1" ht="14.25" customHeight="1" x14ac:dyDescent="0.3"/>
    <row r="990" s="7" customFormat="1" ht="14.25" customHeight="1" x14ac:dyDescent="0.3"/>
    <row r="991" s="7" customFormat="1" ht="14.25" customHeight="1" x14ac:dyDescent="0.3"/>
    <row r="992" s="7" customFormat="1" ht="14.25" customHeight="1" x14ac:dyDescent="0.3"/>
    <row r="993" s="7" customFormat="1" ht="14.25" customHeight="1" x14ac:dyDescent="0.3"/>
    <row r="994" s="7" customFormat="1" ht="14.25" customHeight="1" x14ac:dyDescent="0.3"/>
    <row r="995" s="7" customFormat="1" ht="14.25" customHeight="1" x14ac:dyDescent="0.3"/>
    <row r="996" s="7" customFormat="1" ht="14.25" customHeight="1" x14ac:dyDescent="0.3"/>
    <row r="997" s="7" customFormat="1" ht="14.25" customHeight="1" x14ac:dyDescent="0.3"/>
    <row r="998" s="7" customFormat="1" ht="14.25" customHeight="1" x14ac:dyDescent="0.3"/>
    <row r="999" s="7" customFormat="1" ht="14.25" customHeight="1" x14ac:dyDescent="0.3"/>
    <row r="1000" s="7" customFormat="1" ht="14.25" customHeight="1" x14ac:dyDescent="0.3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O40"/>
  <sheetViews>
    <sheetView topLeftCell="A18" zoomScale="83" workbookViewId="0">
      <selection activeCell="H31" sqref="A1:XFD1048576"/>
    </sheetView>
  </sheetViews>
  <sheetFormatPr defaultColWidth="14.44140625" defaultRowHeight="15" customHeight="1" x14ac:dyDescent="0.3"/>
  <cols>
    <col min="1" max="1" width="29.44140625" style="7" customWidth="1"/>
    <col min="2" max="6" width="21.5546875" style="7" customWidth="1"/>
    <col min="7" max="9" width="14.44140625" style="7"/>
    <col min="10" max="10" width="28.109375" style="7" customWidth="1"/>
    <col min="11" max="14" width="21.5546875" style="7" customWidth="1"/>
    <col min="15" max="16384" width="14.44140625" style="7"/>
  </cols>
  <sheetData>
    <row r="1" spans="1:14" ht="15" customHeight="1" x14ac:dyDescent="0.3">
      <c r="A1" s="22"/>
      <c r="B1" s="90" t="s">
        <v>379</v>
      </c>
      <c r="C1" s="91"/>
      <c r="D1" s="70" t="s">
        <v>380</v>
      </c>
      <c r="E1" s="70" t="s">
        <v>381</v>
      </c>
      <c r="F1" s="70" t="s">
        <v>382</v>
      </c>
      <c r="G1" s="86"/>
      <c r="H1" s="106"/>
      <c r="I1" s="106"/>
      <c r="J1" s="22"/>
      <c r="K1" s="70" t="s">
        <v>379</v>
      </c>
      <c r="L1" s="70" t="s">
        <v>380</v>
      </c>
      <c r="M1" s="70" t="s">
        <v>381</v>
      </c>
      <c r="N1" s="70" t="s">
        <v>382</v>
      </c>
    </row>
    <row r="2" spans="1:14" ht="15" customHeight="1" x14ac:dyDescent="0.3">
      <c r="A2" s="22"/>
      <c r="B2" s="70">
        <v>2026</v>
      </c>
      <c r="C2" s="70">
        <v>2025</v>
      </c>
      <c r="D2" s="70">
        <v>2025</v>
      </c>
      <c r="E2" s="70">
        <v>2025</v>
      </c>
      <c r="F2" s="70">
        <v>2025</v>
      </c>
      <c r="J2" s="22"/>
      <c r="K2" s="70">
        <v>2024</v>
      </c>
      <c r="L2" s="70">
        <v>2024</v>
      </c>
      <c r="M2" s="70">
        <v>2024</v>
      </c>
      <c r="N2" s="70">
        <v>2024</v>
      </c>
    </row>
    <row r="3" spans="1:14" ht="15" customHeight="1" x14ac:dyDescent="0.3">
      <c r="A3" s="22" t="s">
        <v>383</v>
      </c>
      <c r="B3" s="54">
        <v>17232280000000</v>
      </c>
      <c r="C3" s="54">
        <f>WACC!B5</f>
        <v>17232280000000</v>
      </c>
      <c r="D3" s="54">
        <v>2603000000</v>
      </c>
      <c r="E3" s="23">
        <v>1880000000</v>
      </c>
      <c r="F3" s="34">
        <v>3079000000</v>
      </c>
      <c r="J3" s="22" t="s">
        <v>383</v>
      </c>
      <c r="K3" s="54">
        <v>17232280000000</v>
      </c>
      <c r="L3" s="54">
        <v>2603000000</v>
      </c>
      <c r="M3" s="54">
        <v>1880000000</v>
      </c>
      <c r="N3" s="23">
        <v>3079000000</v>
      </c>
    </row>
    <row r="4" spans="1:14" ht="15" customHeight="1" x14ac:dyDescent="0.3">
      <c r="A4" s="22" t="s">
        <v>106</v>
      </c>
      <c r="B4" s="54">
        <f>Forecasting!C39</f>
        <v>936955670852.19226</v>
      </c>
      <c r="C4" s="54">
        <f>Forecasting!B39</f>
        <v>821033901691</v>
      </c>
      <c r="D4" s="54">
        <v>117688000</v>
      </c>
      <c r="E4" s="54">
        <v>129300000.00000001</v>
      </c>
      <c r="F4" s="107">
        <v>313000000</v>
      </c>
      <c r="J4" s="22" t="s">
        <v>106</v>
      </c>
      <c r="K4" s="54">
        <f>'Historical Data'!E56</f>
        <v>507298751244</v>
      </c>
      <c r="L4" s="54">
        <v>179558000</v>
      </c>
      <c r="M4" s="54">
        <v>118100000</v>
      </c>
      <c r="N4" s="54">
        <v>383000000</v>
      </c>
    </row>
    <row r="5" spans="1:14" ht="15" customHeight="1" x14ac:dyDescent="0.3">
      <c r="A5" s="22" t="s">
        <v>105</v>
      </c>
      <c r="B5" s="54">
        <f>Forecasting!C42</f>
        <v>2961861547383.5288</v>
      </c>
      <c r="C5" s="54">
        <f>Forecasting!B42</f>
        <v>3588223884700</v>
      </c>
      <c r="D5" s="54">
        <v>6584000</v>
      </c>
      <c r="E5" s="54">
        <v>2021000000</v>
      </c>
      <c r="F5" s="107">
        <v>613000000</v>
      </c>
      <c r="J5" s="22" t="s">
        <v>105</v>
      </c>
      <c r="K5" s="54">
        <f>'Historical Data'!E59</f>
        <v>2541390152379</v>
      </c>
      <c r="L5" s="54">
        <v>2595000</v>
      </c>
      <c r="M5" s="54">
        <v>1992500000</v>
      </c>
      <c r="N5" s="54">
        <v>610000000</v>
      </c>
    </row>
    <row r="6" spans="1:14" ht="15" customHeight="1" x14ac:dyDescent="0.3">
      <c r="A6" s="22" t="s">
        <v>375</v>
      </c>
      <c r="B6" s="54">
        <f>Forecasting!C23</f>
        <v>1850887219009.1372</v>
      </c>
      <c r="C6" s="54">
        <f>Forecasting!B23</f>
        <v>1821273980243</v>
      </c>
      <c r="D6" s="54">
        <v>261419000</v>
      </c>
      <c r="E6" s="54">
        <v>379700000</v>
      </c>
      <c r="F6" s="54">
        <v>339000000</v>
      </c>
      <c r="H6" s="108"/>
      <c r="J6" s="22" t="s">
        <v>375</v>
      </c>
      <c r="K6" s="54">
        <f>'Historical Data'!E34</f>
        <v>2203268274194</v>
      </c>
      <c r="L6" s="54">
        <v>247522000</v>
      </c>
      <c r="M6" s="54">
        <v>61600000</v>
      </c>
      <c r="N6" s="54">
        <v>478000000</v>
      </c>
    </row>
    <row r="7" spans="1:14" ht="15" customHeight="1" x14ac:dyDescent="0.3">
      <c r="A7" s="22" t="s">
        <v>374</v>
      </c>
      <c r="B7" s="54">
        <f t="shared" ref="B7:F7" si="0">SUM(B3,B4:B5)-B6</f>
        <v>19280209999226.582</v>
      </c>
      <c r="C7" s="54">
        <f t="shared" si="0"/>
        <v>19820263806148</v>
      </c>
      <c r="D7" s="54">
        <f t="shared" si="0"/>
        <v>2465853000</v>
      </c>
      <c r="E7" s="54">
        <f t="shared" si="0"/>
        <v>3650600000</v>
      </c>
      <c r="F7" s="54">
        <f t="shared" si="0"/>
        <v>3666000000</v>
      </c>
      <c r="H7" s="108"/>
      <c r="J7" s="22" t="s">
        <v>374</v>
      </c>
      <c r="K7" s="54">
        <f t="shared" ref="K7:N7" si="1">SUM(K3,K4:K5)-K6</f>
        <v>18077700629429</v>
      </c>
      <c r="L7" s="54">
        <f t="shared" si="1"/>
        <v>2537631000</v>
      </c>
      <c r="M7" s="54">
        <f t="shared" si="1"/>
        <v>3929000000</v>
      </c>
      <c r="N7" s="54">
        <f t="shared" si="1"/>
        <v>3594000000</v>
      </c>
    </row>
    <row r="8" spans="1:14" ht="15" customHeight="1" x14ac:dyDescent="0.3">
      <c r="A8" s="22" t="s">
        <v>16</v>
      </c>
      <c r="B8" s="54">
        <f>Forecasting!C9</f>
        <v>1947992609681.0566</v>
      </c>
      <c r="C8" s="54">
        <f>Forecasting!B9</f>
        <v>1577081290420</v>
      </c>
      <c r="D8" s="54">
        <v>239603000</v>
      </c>
      <c r="E8" s="54">
        <v>322100000</v>
      </c>
      <c r="F8" s="54">
        <v>47000000</v>
      </c>
      <c r="G8" s="35"/>
      <c r="J8" s="22" t="s">
        <v>16</v>
      </c>
      <c r="K8" s="54">
        <f>'Historical Data'!E20</f>
        <v>1175049571275</v>
      </c>
      <c r="L8" s="54">
        <v>293957000</v>
      </c>
      <c r="M8" s="54">
        <v>374200000</v>
      </c>
      <c r="N8" s="54">
        <v>412000000</v>
      </c>
    </row>
    <row r="9" spans="1:14" ht="15" customHeight="1" x14ac:dyDescent="0.3">
      <c r="A9" s="22" t="s">
        <v>384</v>
      </c>
      <c r="B9" s="54">
        <f>Forecasting!J6</f>
        <v>853902143846.25049</v>
      </c>
      <c r="C9" s="54">
        <f>'Historical Data'!F19</f>
        <v>859603231390</v>
      </c>
      <c r="D9" s="54">
        <v>207381000</v>
      </c>
      <c r="E9" s="54">
        <v>148000000</v>
      </c>
      <c r="F9" s="54">
        <v>238000000</v>
      </c>
      <c r="J9" s="22" t="s">
        <v>384</v>
      </c>
      <c r="K9" s="54">
        <f>'Historical Data'!E19</f>
        <v>883531324989</v>
      </c>
      <c r="L9" s="54">
        <v>245667000</v>
      </c>
      <c r="M9" s="54">
        <v>131199999.99999999</v>
      </c>
      <c r="N9" s="54">
        <v>168000000</v>
      </c>
    </row>
    <row r="10" spans="1:14" ht="15" customHeight="1" x14ac:dyDescent="0.3">
      <c r="A10" s="22" t="s">
        <v>14</v>
      </c>
      <c r="B10" s="54">
        <f t="shared" ref="B10:F10" si="2">SUM(B8:B9)</f>
        <v>2801894753527.3071</v>
      </c>
      <c r="C10" s="54">
        <f t="shared" si="2"/>
        <v>2436684521810</v>
      </c>
      <c r="D10" s="54">
        <f t="shared" si="2"/>
        <v>446984000</v>
      </c>
      <c r="E10" s="54">
        <f t="shared" si="2"/>
        <v>470100000</v>
      </c>
      <c r="F10" s="54">
        <f t="shared" si="2"/>
        <v>285000000</v>
      </c>
      <c r="H10" s="35"/>
      <c r="J10" s="22" t="s">
        <v>14</v>
      </c>
      <c r="K10" s="54">
        <f t="shared" ref="K10:N10" si="3">SUM(K8:K9)</f>
        <v>2058580896264</v>
      </c>
      <c r="L10" s="54">
        <f t="shared" si="3"/>
        <v>539624000</v>
      </c>
      <c r="M10" s="54">
        <f t="shared" si="3"/>
        <v>505400000</v>
      </c>
      <c r="N10" s="54">
        <f t="shared" si="3"/>
        <v>580000000</v>
      </c>
    </row>
    <row r="11" spans="1:14" ht="15" customHeight="1" x14ac:dyDescent="0.3">
      <c r="A11" s="22" t="s">
        <v>385</v>
      </c>
      <c r="B11" s="54">
        <f>Forecasting!C13</f>
        <v>1319191286826.2053</v>
      </c>
      <c r="C11" s="54">
        <f>Forecasting!B13</f>
        <v>1051572991932</v>
      </c>
      <c r="D11" s="54">
        <v>202176000</v>
      </c>
      <c r="E11" s="54">
        <v>45000000</v>
      </c>
      <c r="F11" s="54">
        <v>-51000000</v>
      </c>
      <c r="H11" s="35"/>
      <c r="J11" s="22" t="s">
        <v>385</v>
      </c>
      <c r="K11" s="54">
        <f>'Historical Data'!E25</f>
        <v>697970710425</v>
      </c>
      <c r="L11" s="54">
        <v>207706000</v>
      </c>
      <c r="M11" s="54">
        <v>82100000</v>
      </c>
      <c r="N11" s="54">
        <v>446000000</v>
      </c>
    </row>
    <row r="12" spans="1:14" ht="15" customHeight="1" x14ac:dyDescent="0.3">
      <c r="A12" s="22" t="s">
        <v>376</v>
      </c>
      <c r="B12" s="54">
        <f>Forecasting!C46</f>
        <v>19866480280651.75</v>
      </c>
      <c r="C12" s="54">
        <f>Forecasting!B46</f>
        <v>17098286949122</v>
      </c>
      <c r="D12" s="54">
        <v>2392689000</v>
      </c>
      <c r="E12" s="54">
        <v>1222600000</v>
      </c>
      <c r="F12" s="54">
        <v>2858000000</v>
      </c>
      <c r="J12" s="22" t="s">
        <v>376</v>
      </c>
      <c r="K12" s="54">
        <f>'Historical Data'!E62</f>
        <v>16052342324403</v>
      </c>
      <c r="L12" s="54">
        <v>2571203000</v>
      </c>
      <c r="M12" s="54">
        <v>993300000</v>
      </c>
      <c r="N12" s="54">
        <v>2918000000</v>
      </c>
    </row>
    <row r="13" spans="1:14" ht="15" customHeight="1" x14ac:dyDescent="0.3">
      <c r="A13" s="22" t="s">
        <v>386</v>
      </c>
      <c r="B13" s="54">
        <f>AVERAGE(Forecasting!B46:C46)</f>
        <v>18482383614886.875</v>
      </c>
      <c r="C13" s="54">
        <f>'Additional Data'!G16</f>
        <v>16575314636762.5</v>
      </c>
      <c r="D13" s="54">
        <v>2481946000</v>
      </c>
      <c r="E13" s="54">
        <v>1107949999.9999998</v>
      </c>
      <c r="F13" s="54">
        <v>2888000000</v>
      </c>
      <c r="J13" s="22" t="s">
        <v>386</v>
      </c>
      <c r="K13" s="54">
        <f>'Additional Data'!F16</f>
        <v>15475249932201.5</v>
      </c>
      <c r="L13" s="54">
        <v>2523305500</v>
      </c>
      <c r="M13" s="54">
        <v>988650000</v>
      </c>
      <c r="N13" s="54">
        <v>2950500000</v>
      </c>
    </row>
    <row r="14" spans="1:14" ht="15" customHeight="1" x14ac:dyDescent="0.3">
      <c r="A14" s="22" t="s">
        <v>387</v>
      </c>
      <c r="B14" s="54">
        <f>AVERAGE(Forecasting!B34:C34)</f>
        <v>29494124414022.238</v>
      </c>
      <c r="C14" s="54">
        <f>'Additional Data'!G14</f>
        <v>25962210221986.5</v>
      </c>
      <c r="D14" s="54">
        <v>2952216500</v>
      </c>
      <c r="E14" s="54">
        <v>3522600000</v>
      </c>
      <c r="F14" s="54">
        <v>4051500000</v>
      </c>
      <c r="J14" s="22" t="s">
        <v>387</v>
      </c>
      <c r="K14" s="54">
        <f>'Additional Data'!F14</f>
        <v>22623702984411.5</v>
      </c>
      <c r="L14" s="54">
        <v>3089477000</v>
      </c>
      <c r="M14" s="54">
        <v>3522600000</v>
      </c>
      <c r="N14" s="54">
        <v>4187000000</v>
      </c>
    </row>
    <row r="15" spans="1:14" ht="15" customHeight="1" x14ac:dyDescent="0.3">
      <c r="A15" s="22" t="s">
        <v>372</v>
      </c>
      <c r="B15" s="71">
        <f t="shared" ref="B15:F15" si="4">B7/B10</f>
        <v>6.8811328387530306</v>
      </c>
      <c r="C15" s="71">
        <f t="shared" si="4"/>
        <v>8.1341115884075368</v>
      </c>
      <c r="D15" s="71">
        <f t="shared" si="4"/>
        <v>5.5166471283088434</v>
      </c>
      <c r="E15" s="71">
        <f t="shared" si="4"/>
        <v>7.765581791108275</v>
      </c>
      <c r="F15" s="71">
        <f t="shared" si="4"/>
        <v>12.863157894736842</v>
      </c>
      <c r="J15" s="22" t="s">
        <v>372</v>
      </c>
      <c r="K15" s="71">
        <f t="shared" ref="K15:N15" si="5">K7/K10</f>
        <v>8.7816323673445034</v>
      </c>
      <c r="L15" s="71">
        <f t="shared" si="5"/>
        <v>4.7025910634071133</v>
      </c>
      <c r="M15" s="71">
        <f t="shared" si="5"/>
        <v>7.7740403640680649</v>
      </c>
      <c r="N15" s="71">
        <f t="shared" si="5"/>
        <v>6.1965517241379313</v>
      </c>
    </row>
    <row r="16" spans="1:14" ht="15" customHeight="1" x14ac:dyDescent="0.3">
      <c r="A16" s="22" t="s">
        <v>373</v>
      </c>
      <c r="B16" s="71">
        <f t="shared" ref="B16:F16" si="6">B3/B12</f>
        <v>0.86740478215372474</v>
      </c>
      <c r="C16" s="71">
        <f t="shared" si="6"/>
        <v>1.0078366359903019</v>
      </c>
      <c r="D16" s="71">
        <f t="shared" si="6"/>
        <v>1.0878973406071579</v>
      </c>
      <c r="E16" s="71">
        <f t="shared" si="6"/>
        <v>1.53770652707345</v>
      </c>
      <c r="F16" s="71">
        <f t="shared" si="6"/>
        <v>1.0773268019594122</v>
      </c>
      <c r="J16" s="22" t="s">
        <v>373</v>
      </c>
      <c r="K16" s="71">
        <f t="shared" ref="K16:N16" si="7">K3/K12</f>
        <v>1.0735056387255859</v>
      </c>
      <c r="L16" s="71">
        <f t="shared" si="7"/>
        <v>1.0123665848243022</v>
      </c>
      <c r="M16" s="71">
        <f t="shared" si="7"/>
        <v>1.8926809624484042</v>
      </c>
      <c r="N16" s="71">
        <f t="shared" si="7"/>
        <v>1.0551747772446882</v>
      </c>
    </row>
    <row r="17" spans="1:15" ht="15" customHeight="1" x14ac:dyDescent="0.3">
      <c r="A17" s="22" t="s">
        <v>388</v>
      </c>
      <c r="B17" s="71">
        <f t="shared" ref="B17:F17" si="8">B3/B11</f>
        <v>13.062760626215566</v>
      </c>
      <c r="C17" s="71">
        <f t="shared" si="8"/>
        <v>16.387145858833854</v>
      </c>
      <c r="D17" s="71">
        <f t="shared" si="8"/>
        <v>12.874920861031972</v>
      </c>
      <c r="E17" s="71">
        <f t="shared" si="8"/>
        <v>41.777777777777779</v>
      </c>
      <c r="F17" s="71">
        <f t="shared" si="8"/>
        <v>-60.372549019607845</v>
      </c>
      <c r="J17" s="22" t="s">
        <v>388</v>
      </c>
      <c r="K17" s="71">
        <f t="shared" ref="K17:N17" si="9">K3/K11</f>
        <v>24.689116237423669</v>
      </c>
      <c r="L17" s="71">
        <f t="shared" si="9"/>
        <v>12.532136770242554</v>
      </c>
      <c r="M17" s="71">
        <f t="shared" si="9"/>
        <v>22.89890377588307</v>
      </c>
      <c r="N17" s="71">
        <f t="shared" si="9"/>
        <v>6.9035874439461882</v>
      </c>
    </row>
    <row r="18" spans="1:15" ht="15" customHeight="1" x14ac:dyDescent="0.3">
      <c r="A18" s="22" t="s">
        <v>389</v>
      </c>
      <c r="B18" s="71">
        <f t="shared" ref="B18:F18" si="10">B11/B14</f>
        <v>4.4727257141392848E-2</v>
      </c>
      <c r="C18" s="71">
        <f t="shared" si="10"/>
        <v>4.0503985713876513E-2</v>
      </c>
      <c r="D18" s="71">
        <f t="shared" si="10"/>
        <v>6.8482782343368104E-2</v>
      </c>
      <c r="E18" s="71">
        <f t="shared" si="10"/>
        <v>1.2774655084312723E-2</v>
      </c>
      <c r="F18" s="71">
        <f t="shared" si="10"/>
        <v>-1.2587930396149574E-2</v>
      </c>
      <c r="J18" s="22" t="s">
        <v>389</v>
      </c>
      <c r="K18" s="71">
        <f t="shared" ref="K18:N18" si="11">K11/K14</f>
        <v>3.0851302764446895E-2</v>
      </c>
      <c r="L18" s="71">
        <f t="shared" si="11"/>
        <v>6.7230149310061216E-2</v>
      </c>
      <c r="M18" s="71">
        <f t="shared" si="11"/>
        <v>2.3306648498268325E-2</v>
      </c>
      <c r="N18" s="71">
        <f t="shared" si="11"/>
        <v>0.10652018151421065</v>
      </c>
    </row>
    <row r="19" spans="1:15" ht="15" customHeight="1" x14ac:dyDescent="0.3">
      <c r="A19" s="22" t="s">
        <v>390</v>
      </c>
      <c r="B19" s="71">
        <f t="shared" ref="B19:F19" si="12">B11/B13</f>
        <v>7.1375603618769476E-2</v>
      </c>
      <c r="C19" s="71">
        <f t="shared" si="12"/>
        <v>6.3442113466715702E-2</v>
      </c>
      <c r="D19" s="71">
        <f t="shared" si="12"/>
        <v>8.1458661872579011E-2</v>
      </c>
      <c r="E19" s="71">
        <f t="shared" si="12"/>
        <v>4.0615551243287161E-2</v>
      </c>
      <c r="F19" s="71">
        <f t="shared" si="12"/>
        <v>-1.7659279778393353E-2</v>
      </c>
      <c r="J19" s="22" t="s">
        <v>390</v>
      </c>
      <c r="K19" s="71">
        <f t="shared" ref="K19:N19" si="13">K11/K13</f>
        <v>4.510238693933049E-2</v>
      </c>
      <c r="L19" s="71">
        <f t="shared" si="13"/>
        <v>8.2315042708859476E-2</v>
      </c>
      <c r="M19" s="71">
        <f t="shared" si="13"/>
        <v>8.3042532746674752E-2</v>
      </c>
      <c r="N19" s="71">
        <f t="shared" si="13"/>
        <v>0.1511608201999661</v>
      </c>
    </row>
    <row r="21" spans="1:15" ht="15" customHeight="1" x14ac:dyDescent="0.3">
      <c r="B21" s="35"/>
      <c r="C21" s="35"/>
    </row>
    <row r="22" spans="1:15" ht="15" customHeight="1" x14ac:dyDescent="0.3">
      <c r="A22" s="22"/>
      <c r="B22" s="70"/>
      <c r="C22" s="70" t="s">
        <v>379</v>
      </c>
      <c r="D22" s="70" t="s">
        <v>380</v>
      </c>
      <c r="E22" s="70" t="s">
        <v>381</v>
      </c>
      <c r="F22" s="70" t="s">
        <v>382</v>
      </c>
      <c r="J22" s="22"/>
      <c r="K22" s="70" t="s">
        <v>379</v>
      </c>
      <c r="L22" s="70" t="s">
        <v>380</v>
      </c>
      <c r="M22" s="70" t="s">
        <v>381</v>
      </c>
      <c r="N22" s="70" t="s">
        <v>382</v>
      </c>
      <c r="O22" s="70" t="s">
        <v>3</v>
      </c>
    </row>
    <row r="23" spans="1:15" ht="15" customHeight="1" x14ac:dyDescent="0.3">
      <c r="A23" s="22"/>
      <c r="B23" s="70"/>
      <c r="C23" s="70">
        <v>2023</v>
      </c>
      <c r="D23" s="70">
        <v>2023</v>
      </c>
      <c r="E23" s="70">
        <v>2023</v>
      </c>
      <c r="F23" s="70">
        <v>2023</v>
      </c>
      <c r="J23" s="22" t="s">
        <v>372</v>
      </c>
      <c r="K23" s="71">
        <f t="shared" ref="K23:K27" si="14">AVERAGE(B15,C15,K15,C36)</f>
        <v>8.5428182141918629</v>
      </c>
      <c r="L23" s="71">
        <f t="shared" ref="L23:N23" si="15">AVERAGE(D15,L15,D36)</f>
        <v>5.9973003177224022</v>
      </c>
      <c r="M23" s="71">
        <f t="shared" si="15"/>
        <v>8.3330370026045468</v>
      </c>
      <c r="N23" s="71">
        <f t="shared" si="15"/>
        <v>8.6438701484403513</v>
      </c>
      <c r="O23" s="71">
        <f t="shared" ref="O23:O24" si="16">MEDIAN(K23:N23)</f>
        <v>8.4379276083982049</v>
      </c>
    </row>
    <row r="24" spans="1:15" ht="15" customHeight="1" x14ac:dyDescent="0.3">
      <c r="A24" s="22" t="s">
        <v>383</v>
      </c>
      <c r="B24" s="54"/>
      <c r="C24" s="54">
        <v>17232280000000</v>
      </c>
      <c r="D24" s="54">
        <v>2603000000</v>
      </c>
      <c r="E24" s="23">
        <v>1880000000</v>
      </c>
      <c r="F24" s="23">
        <v>3079000000</v>
      </c>
      <c r="J24" s="22" t="s">
        <v>373</v>
      </c>
      <c r="K24" s="71">
        <f t="shared" si="14"/>
        <v>1.0263547360577654</v>
      </c>
      <c r="L24" s="71">
        <f t="shared" ref="L24:N24" si="17">AVERAGE(D16,L16,D37)</f>
        <v>1.0506025839140376</v>
      </c>
      <c r="M24" s="71">
        <f t="shared" si="17"/>
        <v>1.7803188650709705</v>
      </c>
      <c r="N24" s="71">
        <f t="shared" si="17"/>
        <v>1.0548946486496626</v>
      </c>
      <c r="O24" s="71">
        <f t="shared" si="16"/>
        <v>1.0527486162818502</v>
      </c>
    </row>
    <row r="25" spans="1:15" ht="15" customHeight="1" x14ac:dyDescent="0.3">
      <c r="A25" s="22" t="s">
        <v>106</v>
      </c>
      <c r="B25" s="54"/>
      <c r="C25" s="54">
        <f>'Historical Data'!D56</f>
        <v>553352813440</v>
      </c>
      <c r="D25" s="54">
        <v>118385000</v>
      </c>
      <c r="E25" s="54">
        <v>82900000</v>
      </c>
      <c r="F25" s="54">
        <v>336000000</v>
      </c>
      <c r="J25" s="22" t="s">
        <v>388</v>
      </c>
      <c r="K25" s="71">
        <f t="shared" si="14"/>
        <v>21.42582940899991</v>
      </c>
      <c r="L25" s="71">
        <f t="shared" ref="L25:N25" si="18">AVERAGE(D17,L17,D38)</f>
        <v>17.187096745382558</v>
      </c>
      <c r="M25" s="71">
        <f t="shared" si="18"/>
        <v>49.914851618942748</v>
      </c>
      <c r="N25" s="71">
        <f t="shared" si="18"/>
        <v>-14.401876080776107</v>
      </c>
      <c r="O25" s="71">
        <f>MEDIAN(K25:M25)</f>
        <v>21.42582940899991</v>
      </c>
    </row>
    <row r="26" spans="1:15" ht="15" customHeight="1" x14ac:dyDescent="0.3">
      <c r="A26" s="22" t="s">
        <v>105</v>
      </c>
      <c r="B26" s="54"/>
      <c r="C26" s="54">
        <f>'Historical Data'!D59</f>
        <v>2787681809360</v>
      </c>
      <c r="D26" s="54">
        <v>247712000</v>
      </c>
      <c r="E26" s="54">
        <v>1618800000</v>
      </c>
      <c r="F26" s="54">
        <v>608000000</v>
      </c>
      <c r="J26" s="22" t="s">
        <v>389</v>
      </c>
      <c r="K26" s="71">
        <f t="shared" si="14"/>
        <v>3.5468229952891325E-2</v>
      </c>
      <c r="L26" s="71">
        <f t="shared" ref="L26:N26" si="19">AVERAGE(D18,L18,D39)</f>
        <v>5.5944425400133918E-2</v>
      </c>
      <c r="M26" s="71">
        <f t="shared" si="19"/>
        <v>1.4449629612315511E-2</v>
      </c>
      <c r="N26" s="71">
        <f t="shared" si="19"/>
        <v>5.980483784953558E-2</v>
      </c>
      <c r="O26" s="71">
        <f t="shared" ref="O26:O27" si="20">AVERAGE(K26:N26)</f>
        <v>4.1416780703719083E-2</v>
      </c>
    </row>
    <row r="27" spans="1:15" ht="15" customHeight="1" x14ac:dyDescent="0.3">
      <c r="A27" s="22" t="s">
        <v>375</v>
      </c>
      <c r="B27" s="54"/>
      <c r="C27" s="54">
        <f>'Historical Data'!D34</f>
        <v>2256047157280</v>
      </c>
      <c r="D27" s="54">
        <v>132215000</v>
      </c>
      <c r="E27" s="54">
        <v>102500000</v>
      </c>
      <c r="F27" s="54">
        <v>697000000</v>
      </c>
      <c r="J27" s="22" t="s">
        <v>390</v>
      </c>
      <c r="K27" s="71">
        <f t="shared" si="14"/>
        <v>5.4400401781988426E-2</v>
      </c>
      <c r="L27" s="71">
        <f t="shared" ref="L27:N27" si="21">AVERAGE(D19,L19,D40)</f>
        <v>6.8538887124802536E-2</v>
      </c>
      <c r="M27" s="71">
        <f t="shared" si="21"/>
        <v>4.9048744544639943E-2</v>
      </c>
      <c r="N27" s="71">
        <f t="shared" si="21"/>
        <v>8.7189947838852255E-2</v>
      </c>
      <c r="O27" s="71">
        <f t="shared" si="20"/>
        <v>6.4794495322570783E-2</v>
      </c>
    </row>
    <row r="28" spans="1:15" ht="15" customHeight="1" x14ac:dyDescent="0.3">
      <c r="A28" s="22" t="s">
        <v>374</v>
      </c>
      <c r="B28" s="54"/>
      <c r="C28" s="54">
        <f t="shared" ref="C28:F28" si="22">SUM(C24,C25:C26)-C27</f>
        <v>18317267465520</v>
      </c>
      <c r="D28" s="54">
        <f t="shared" si="22"/>
        <v>2836882000</v>
      </c>
      <c r="E28" s="54">
        <f t="shared" si="22"/>
        <v>3479200000</v>
      </c>
      <c r="F28" s="54">
        <f t="shared" si="22"/>
        <v>3326000000</v>
      </c>
    </row>
    <row r="29" spans="1:15" ht="15" customHeight="1" x14ac:dyDescent="0.3">
      <c r="A29" s="22" t="s">
        <v>16</v>
      </c>
      <c r="B29" s="54"/>
      <c r="C29" s="54">
        <f>'Historical Data'!D20</f>
        <v>908879240802</v>
      </c>
      <c r="D29" s="54">
        <v>163043000</v>
      </c>
      <c r="E29" s="54">
        <v>250400000</v>
      </c>
      <c r="F29" s="54">
        <v>329000000</v>
      </c>
    </row>
    <row r="30" spans="1:15" ht="15" customHeight="1" x14ac:dyDescent="0.3">
      <c r="A30" s="22" t="s">
        <v>384</v>
      </c>
      <c r="B30" s="54"/>
      <c r="C30" s="54">
        <f>'Historical Data'!D19</f>
        <v>856743293328</v>
      </c>
      <c r="D30" s="54">
        <v>201939000</v>
      </c>
      <c r="E30" s="54">
        <v>117400000</v>
      </c>
      <c r="F30" s="54">
        <v>155000000</v>
      </c>
    </row>
    <row r="31" spans="1:15" ht="15" customHeight="1" x14ac:dyDescent="0.3">
      <c r="A31" s="22" t="s">
        <v>14</v>
      </c>
      <c r="B31" s="54"/>
      <c r="C31" s="54">
        <f t="shared" ref="C31:F31" si="23">SUM(C29:C30)</f>
        <v>1765622534130</v>
      </c>
      <c r="D31" s="54">
        <f t="shared" si="23"/>
        <v>364982000</v>
      </c>
      <c r="E31" s="54">
        <f t="shared" si="23"/>
        <v>367800000</v>
      </c>
      <c r="F31" s="54">
        <f t="shared" si="23"/>
        <v>484000000</v>
      </c>
    </row>
    <row r="32" spans="1:15" ht="15" customHeight="1" x14ac:dyDescent="0.3">
      <c r="A32" s="22" t="s">
        <v>385</v>
      </c>
      <c r="B32" s="54"/>
      <c r="C32" s="54">
        <f>'Historical Data'!D25</f>
        <v>545942180784</v>
      </c>
      <c r="D32" s="54">
        <v>99525000</v>
      </c>
      <c r="E32" s="54">
        <v>22100000</v>
      </c>
      <c r="F32" s="54">
        <v>300000000</v>
      </c>
    </row>
    <row r="33" spans="1:6" ht="15" customHeight="1" x14ac:dyDescent="0.3">
      <c r="A33" s="22" t="s">
        <v>376</v>
      </c>
      <c r="B33" s="54"/>
      <c r="C33" s="54">
        <f>'Historical Data'!D63</f>
        <v>14898157540000</v>
      </c>
      <c r="D33" s="54">
        <v>2475408000</v>
      </c>
      <c r="E33" s="54">
        <v>984000000</v>
      </c>
      <c r="F33" s="54">
        <v>2983000000</v>
      </c>
    </row>
    <row r="34" spans="1:6" ht="15" customHeight="1" x14ac:dyDescent="0.3">
      <c r="A34" s="22" t="s">
        <v>386</v>
      </c>
      <c r="B34" s="54"/>
      <c r="C34" s="54">
        <f>'Additional Data'!E16</f>
        <v>14488333421565</v>
      </c>
      <c r="D34" s="54">
        <v>2378536500</v>
      </c>
      <c r="E34" s="54">
        <v>940900000</v>
      </c>
      <c r="F34" s="54">
        <v>2342500000</v>
      </c>
    </row>
    <row r="35" spans="1:6" ht="15" customHeight="1" x14ac:dyDescent="0.3">
      <c r="A35" s="22" t="s">
        <v>387</v>
      </c>
      <c r="B35" s="54"/>
      <c r="C35" s="54">
        <f>'Additional Data'!E14</f>
        <v>21168447449535</v>
      </c>
      <c r="D35" s="54">
        <v>3098503500</v>
      </c>
      <c r="E35" s="54">
        <v>3040899999.9999995</v>
      </c>
      <c r="F35" s="54">
        <v>3509500000</v>
      </c>
    </row>
    <row r="36" spans="1:6" ht="15" customHeight="1" x14ac:dyDescent="0.3">
      <c r="A36" s="22" t="s">
        <v>372</v>
      </c>
      <c r="B36" s="71"/>
      <c r="C36" s="71">
        <f t="shared" ref="C36:F36" si="24">C28/C31</f>
        <v>10.374396062262383</v>
      </c>
      <c r="D36" s="71">
        <f t="shared" si="24"/>
        <v>7.77266276145125</v>
      </c>
      <c r="E36" s="71">
        <f t="shared" si="24"/>
        <v>9.4594888526373033</v>
      </c>
      <c r="F36" s="71">
        <f t="shared" si="24"/>
        <v>6.8719008264462813</v>
      </c>
    </row>
    <row r="37" spans="1:6" ht="15" customHeight="1" x14ac:dyDescent="0.3">
      <c r="A37" s="22" t="s">
        <v>373</v>
      </c>
      <c r="B37" s="71"/>
      <c r="C37" s="71">
        <f t="shared" ref="C37:F37" si="25">C24/C33</f>
        <v>1.1566718873614488</v>
      </c>
      <c r="D37" s="71">
        <f t="shared" si="25"/>
        <v>1.0515438263106527</v>
      </c>
      <c r="E37" s="71">
        <f t="shared" si="25"/>
        <v>1.910569105691057</v>
      </c>
      <c r="F37" s="71">
        <f t="shared" si="25"/>
        <v>1.0321823667448877</v>
      </c>
    </row>
    <row r="38" spans="1:6" ht="15" customHeight="1" x14ac:dyDescent="0.3">
      <c r="A38" s="22" t="s">
        <v>388</v>
      </c>
      <c r="B38" s="71"/>
      <c r="C38" s="71">
        <f t="shared" ref="C38:F38" si="26">C24/C32</f>
        <v>31.564294913526545</v>
      </c>
      <c r="D38" s="71">
        <f t="shared" si="26"/>
        <v>26.154232604873147</v>
      </c>
      <c r="E38" s="71">
        <f t="shared" si="26"/>
        <v>85.067873303167417</v>
      </c>
      <c r="F38" s="71">
        <f t="shared" si="26"/>
        <v>10.263333333333334</v>
      </c>
    </row>
    <row r="39" spans="1:6" ht="15" customHeight="1" x14ac:dyDescent="0.3">
      <c r="A39" s="22" t="s">
        <v>389</v>
      </c>
      <c r="B39" s="71"/>
      <c r="C39" s="71">
        <f t="shared" ref="C39:F39" si="27">C32/C35</f>
        <v>2.5790374191849035E-2</v>
      </c>
      <c r="D39" s="71">
        <f t="shared" si="27"/>
        <v>3.2120344546972435E-2</v>
      </c>
      <c r="E39" s="71">
        <f t="shared" si="27"/>
        <v>7.2675852543654853E-3</v>
      </c>
      <c r="F39" s="71">
        <f t="shared" si="27"/>
        <v>8.5482262430545658E-2</v>
      </c>
    </row>
    <row r="40" spans="1:6" ht="15" customHeight="1" x14ac:dyDescent="0.3">
      <c r="A40" s="22" t="s">
        <v>390</v>
      </c>
      <c r="B40" s="71"/>
      <c r="C40" s="71">
        <f t="shared" ref="C40:F40" si="28">C32/C34</f>
        <v>3.7681503103138031E-2</v>
      </c>
      <c r="D40" s="71">
        <f t="shared" si="28"/>
        <v>4.1842956792969122E-2</v>
      </c>
      <c r="E40" s="71">
        <f t="shared" si="28"/>
        <v>2.3488149643957911E-2</v>
      </c>
      <c r="F40" s="71">
        <f t="shared" si="28"/>
        <v>0.12806830309498399</v>
      </c>
    </row>
  </sheetData>
  <mergeCells count="1">
    <mergeCell ref="B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I10"/>
  <sheetViews>
    <sheetView zoomScale="83" workbookViewId="0">
      <selection activeCell="J15" sqref="J15"/>
    </sheetView>
  </sheetViews>
  <sheetFormatPr defaultColWidth="14.44140625" defaultRowHeight="15" customHeight="1" x14ac:dyDescent="0.3"/>
  <cols>
    <col min="1" max="1" width="14.44140625" style="7"/>
    <col min="2" max="2" width="23.109375" style="7" customWidth="1"/>
    <col min="3" max="3" width="7.33203125" style="7" customWidth="1"/>
    <col min="4" max="4" width="10.6640625" style="7" bestFit="1" customWidth="1"/>
    <col min="5" max="9" width="8" style="7" bestFit="1" customWidth="1"/>
    <col min="10" max="16384" width="14.44140625" style="7"/>
  </cols>
  <sheetData>
    <row r="1" spans="1:9" ht="15" customHeight="1" x14ac:dyDescent="0.3">
      <c r="A1" s="11">
        <f>'Firm Value'!B2</f>
        <v>0.11412177720593472</v>
      </c>
    </row>
    <row r="2" spans="1:9" ht="15" customHeight="1" x14ac:dyDescent="0.3">
      <c r="A2" s="25">
        <f>'Firm Value'!B3</f>
        <v>0.03</v>
      </c>
    </row>
    <row r="3" spans="1:9" ht="15" customHeight="1" x14ac:dyDescent="0.3">
      <c r="A3" s="59">
        <f>'Absolute Method'!C8</f>
        <v>40164.703572635713</v>
      </c>
      <c r="C3" s="3" t="s">
        <v>391</v>
      </c>
      <c r="D3" s="109"/>
      <c r="E3" s="109"/>
      <c r="F3" s="109"/>
      <c r="G3" s="109"/>
      <c r="H3" s="109"/>
      <c r="I3" s="91"/>
    </row>
    <row r="4" spans="1:9" ht="15" customHeight="1" x14ac:dyDescent="0.3">
      <c r="C4" s="1"/>
      <c r="D4" s="1"/>
      <c r="E4" s="4" t="s">
        <v>392</v>
      </c>
      <c r="F4" s="109"/>
      <c r="G4" s="109"/>
      <c r="H4" s="109"/>
      <c r="I4" s="91"/>
    </row>
    <row r="5" spans="1:9" ht="15" customHeight="1" x14ac:dyDescent="0.3">
      <c r="C5" s="1"/>
      <c r="D5" s="116">
        <f>('Firm Value'!F9/(1+A1)^1+'Firm Value'!G9/(1+A1)^2+'Firm Value'!H9/(1+A1)^3+'Firm Value'!I9/(1+A1)^4+'Firm Value'!J9/(1+A1)^5+'Firm Value'!J9*(1+A2)/(A1-A2)/(1+A1)^5+'Absolute Method'!C4-'Absolute Method'!C5-Forecasting!B53)/'Absolute Method'!C7</f>
        <v>40164.703572635713</v>
      </c>
      <c r="E5" s="117">
        <f t="shared" ref="E5:F5" si="0">F5-1%</f>
        <v>9.9999999999999967E-3</v>
      </c>
      <c r="F5" s="117">
        <f t="shared" si="0"/>
        <v>1.9999999999999997E-2</v>
      </c>
      <c r="G5" s="117">
        <f>'Firm Value'!B3</f>
        <v>0.03</v>
      </c>
      <c r="H5" s="117">
        <f t="shared" ref="H5:I5" si="1">G5+1%</f>
        <v>0.04</v>
      </c>
      <c r="I5" s="117">
        <f t="shared" si="1"/>
        <v>0.05</v>
      </c>
    </row>
    <row r="6" spans="1:9" ht="15" customHeight="1" x14ac:dyDescent="0.3">
      <c r="C6" s="5" t="s">
        <v>214</v>
      </c>
      <c r="D6" s="118">
        <f t="shared" ref="D6:D7" si="2">D7-1%</f>
        <v>9.4121777205934731E-2</v>
      </c>
      <c r="E6" s="2">
        <f t="dataTable" ref="E6:I10" dt2D="1" dtr="1" r1="A2" r2="A1"/>
        <v>43343.675157573925</v>
      </c>
      <c r="F6" s="2">
        <v>48758.297762520626</v>
      </c>
      <c r="G6" s="2">
        <v>55861.776428819772</v>
      </c>
      <c r="H6" s="2">
        <v>65590.253398212415</v>
      </c>
      <c r="I6" s="2">
        <v>79728.560426800454</v>
      </c>
    </row>
    <row r="7" spans="1:9" ht="15" customHeight="1" x14ac:dyDescent="0.3">
      <c r="C7" s="110"/>
      <c r="D7" s="118">
        <f t="shared" si="2"/>
        <v>0.10412177720593473</v>
      </c>
      <c r="E7" s="2">
        <v>37607.092671150131</v>
      </c>
      <c r="F7" s="2">
        <v>41718.766377382388</v>
      </c>
      <c r="G7" s="2">
        <v>46939.877515156164</v>
      </c>
      <c r="H7" s="2">
        <v>53789.487227136786</v>
      </c>
      <c r="I7" s="2">
        <v>63170.281266608268</v>
      </c>
    </row>
    <row r="8" spans="1:9" ht="15" customHeight="1" x14ac:dyDescent="0.3">
      <c r="C8" s="110"/>
      <c r="D8" s="118">
        <f>'Firm Value'!B2</f>
        <v>0.11412177720593472</v>
      </c>
      <c r="E8" s="2">
        <v>32994.451311570738</v>
      </c>
      <c r="F8" s="2">
        <v>36198.674505826493</v>
      </c>
      <c r="G8" s="119">
        <v>40164.703572635713</v>
      </c>
      <c r="H8" s="2">
        <v>45200.871326430359</v>
      </c>
      <c r="I8" s="2">
        <v>51807.852608246933</v>
      </c>
    </row>
    <row r="9" spans="1:9" ht="15" customHeight="1" x14ac:dyDescent="0.3">
      <c r="C9" s="110"/>
      <c r="D9" s="118">
        <f t="shared" ref="D9:D10" si="3">D8+1%</f>
        <v>0.12412177720593472</v>
      </c>
      <c r="E9" s="2">
        <v>29209.402115028512</v>
      </c>
      <c r="F9" s="2">
        <v>31759.29278698151</v>
      </c>
      <c r="G9" s="2">
        <v>34851.011449788093</v>
      </c>
      <c r="H9" s="2">
        <v>38677.787969310622</v>
      </c>
      <c r="I9" s="2">
        <v>43537.129185410922</v>
      </c>
    </row>
    <row r="10" spans="1:9" ht="15" customHeight="1" x14ac:dyDescent="0.3">
      <c r="C10" s="111"/>
      <c r="D10" s="118">
        <f t="shared" si="3"/>
        <v>0.13412177720593471</v>
      </c>
      <c r="E10" s="2">
        <v>26051.143002194749</v>
      </c>
      <c r="F10" s="2">
        <v>28115.714052988078</v>
      </c>
      <c r="G10" s="2">
        <v>30576.853642312977</v>
      </c>
      <c r="H10" s="2">
        <v>33560.962445009194</v>
      </c>
      <c r="I10" s="2">
        <v>37254.544799456678</v>
      </c>
    </row>
  </sheetData>
  <mergeCells count="3">
    <mergeCell ref="C3:I3"/>
    <mergeCell ref="E4:I4"/>
    <mergeCell ref="C6:C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E26" sqref="A1:XFD1048576"/>
    </sheetView>
  </sheetViews>
  <sheetFormatPr defaultColWidth="14.44140625" defaultRowHeight="15" customHeight="1" x14ac:dyDescent="0.3"/>
  <cols>
    <col min="1" max="1" width="24.88671875" style="7" customWidth="1"/>
    <col min="2" max="11" width="20.5546875" style="7" customWidth="1"/>
    <col min="12" max="15" width="8.6640625" style="7" customWidth="1"/>
    <col min="16" max="16" width="24.44140625" style="7" customWidth="1"/>
    <col min="17" max="17" width="18.33203125" style="7" customWidth="1"/>
    <col min="18" max="26" width="8.6640625" style="7" customWidth="1"/>
    <col min="27" max="16384" width="14.44140625" style="7"/>
  </cols>
  <sheetData>
    <row r="1" spans="1:26" ht="14.25" customHeight="1" x14ac:dyDescent="0.3">
      <c r="A1" s="112" t="s">
        <v>393</v>
      </c>
      <c r="B1" s="109"/>
      <c r="C1" s="109"/>
      <c r="D1" s="109"/>
      <c r="E1" s="109"/>
      <c r="F1" s="109"/>
      <c r="G1" s="109"/>
      <c r="H1" s="109"/>
      <c r="I1" s="109"/>
      <c r="J1" s="109"/>
      <c r="K1" s="91"/>
    </row>
    <row r="2" spans="1:26" ht="14.25" customHeight="1" x14ac:dyDescent="0.3">
      <c r="A2" s="22"/>
      <c r="B2" s="75">
        <v>2021</v>
      </c>
      <c r="C2" s="75">
        <v>2022</v>
      </c>
      <c r="D2" s="75">
        <v>2023</v>
      </c>
      <c r="E2" s="75">
        <v>2024</v>
      </c>
      <c r="F2" s="75">
        <v>2025</v>
      </c>
      <c r="G2" s="75">
        <v>2026</v>
      </c>
      <c r="H2" s="75">
        <v>2027</v>
      </c>
      <c r="I2" s="75">
        <v>2028</v>
      </c>
      <c r="J2" s="75">
        <v>2029</v>
      </c>
      <c r="K2" s="75">
        <v>2030</v>
      </c>
    </row>
    <row r="3" spans="1:26" ht="14.25" customHeight="1" x14ac:dyDescent="0.3">
      <c r="A3" s="22" t="s">
        <v>149</v>
      </c>
      <c r="B3" s="23">
        <f>'Historical Data'!B3</f>
        <v>3995471964670</v>
      </c>
      <c r="C3" s="23">
        <f>'Historical Data'!C3</f>
        <v>5431604613820</v>
      </c>
      <c r="D3" s="23">
        <f>'Historical Data'!D3</f>
        <v>5804412484923</v>
      </c>
      <c r="E3" s="23">
        <f>'Historical Data'!E3</f>
        <v>9288059307546</v>
      </c>
      <c r="F3" s="23">
        <f>'Historical Data'!F3</f>
        <v>10896989276040</v>
      </c>
      <c r="G3" s="23">
        <f>Forecasting!C2</f>
        <v>12339248126727.582</v>
      </c>
      <c r="H3" s="23">
        <f>Forecasting!D2</f>
        <v>14863538802259.41</v>
      </c>
      <c r="I3" s="23">
        <f>Forecasting!E2</f>
        <v>16299400171267.627</v>
      </c>
      <c r="J3" s="23">
        <f>Forecasting!F2</f>
        <v>17615176001251.895</v>
      </c>
      <c r="K3" s="23">
        <f>Forecasting!G2</f>
        <v>18137279065163.402</v>
      </c>
      <c r="M3" s="11">
        <f>(K3/F3)^(1/5)-1</f>
        <v>0.10726895186402663</v>
      </c>
      <c r="Q3" s="7">
        <v>2021</v>
      </c>
      <c r="R3" s="7">
        <v>2022</v>
      </c>
      <c r="S3" s="7">
        <v>2023</v>
      </c>
      <c r="T3" s="7">
        <v>2024</v>
      </c>
      <c r="U3" s="7">
        <v>2025</v>
      </c>
      <c r="V3" s="7">
        <v>2026</v>
      </c>
      <c r="W3" s="7">
        <v>2027</v>
      </c>
      <c r="X3" s="7">
        <v>2028</v>
      </c>
      <c r="Y3" s="7">
        <v>2029</v>
      </c>
      <c r="Z3" s="7">
        <v>2030</v>
      </c>
    </row>
    <row r="4" spans="1:26" ht="14.25" customHeight="1" x14ac:dyDescent="0.3">
      <c r="A4" s="22" t="s">
        <v>394</v>
      </c>
      <c r="B4" s="22"/>
      <c r="C4" s="53">
        <f t="shared" ref="C4:K4" si="0">(C3-B3)/B3</f>
        <v>0.35944005160066622</v>
      </c>
      <c r="D4" s="53">
        <f t="shared" si="0"/>
        <v>6.8636783714786542E-2</v>
      </c>
      <c r="E4" s="53">
        <f t="shared" si="0"/>
        <v>0.60017216758316116</v>
      </c>
      <c r="F4" s="53">
        <f t="shared" si="0"/>
        <v>0.17322563467987756</v>
      </c>
      <c r="G4" s="53">
        <f t="shared" si="0"/>
        <v>0.13235388364185888</v>
      </c>
      <c r="H4" s="53">
        <f t="shared" si="0"/>
        <v>0.20457410772574197</v>
      </c>
      <c r="I4" s="53">
        <f t="shared" si="0"/>
        <v>9.6602928018053896E-2</v>
      </c>
      <c r="J4" s="53">
        <f t="shared" si="0"/>
        <v>8.0725414196756773E-2</v>
      </c>
      <c r="K4" s="53">
        <f t="shared" si="0"/>
        <v>2.9639389573763126E-2</v>
      </c>
      <c r="P4" s="7" t="s">
        <v>149</v>
      </c>
      <c r="Q4" s="28">
        <f t="shared" ref="Q4:Z4" si="1">B3/1000000000</f>
        <v>3995.47196467</v>
      </c>
      <c r="R4" s="28">
        <f t="shared" si="1"/>
        <v>5431.6046138199999</v>
      </c>
      <c r="S4" s="28">
        <f t="shared" si="1"/>
        <v>5804.4124849230002</v>
      </c>
      <c r="T4" s="28">
        <f t="shared" si="1"/>
        <v>9288.0593075460001</v>
      </c>
      <c r="U4" s="28">
        <f t="shared" si="1"/>
        <v>10896.98927604</v>
      </c>
      <c r="V4" s="28">
        <f t="shared" si="1"/>
        <v>12339.248126727582</v>
      </c>
      <c r="W4" s="28">
        <f t="shared" si="1"/>
        <v>14863.538802259411</v>
      </c>
      <c r="X4" s="28">
        <f t="shared" si="1"/>
        <v>16299.400171267627</v>
      </c>
      <c r="Y4" s="28">
        <f t="shared" si="1"/>
        <v>17615.176001251893</v>
      </c>
      <c r="Z4" s="28">
        <f t="shared" si="1"/>
        <v>18137.279065163402</v>
      </c>
    </row>
    <row r="5" spans="1:26" ht="14.25" customHeight="1" x14ac:dyDescent="0.3">
      <c r="A5" s="112" t="s">
        <v>395</v>
      </c>
      <c r="B5" s="109"/>
      <c r="C5" s="109"/>
      <c r="D5" s="109"/>
      <c r="E5" s="109"/>
      <c r="F5" s="109"/>
      <c r="G5" s="109"/>
      <c r="H5" s="109"/>
      <c r="I5" s="109"/>
      <c r="J5" s="109"/>
      <c r="K5" s="91"/>
      <c r="P5" s="25" t="s">
        <v>394</v>
      </c>
      <c r="Q5" s="25"/>
      <c r="R5" s="11">
        <v>0.35944005160066622</v>
      </c>
      <c r="S5" s="11">
        <v>6.8636783714786542E-2</v>
      </c>
      <c r="T5" s="11">
        <v>0.60017216758316116</v>
      </c>
      <c r="U5" s="11">
        <v>0.17322563467987756</v>
      </c>
      <c r="V5" s="11">
        <v>0.13235388364185888</v>
      </c>
      <c r="W5" s="11">
        <v>0.20457410772574197</v>
      </c>
      <c r="X5" s="11">
        <v>9.6602928018053896E-2</v>
      </c>
      <c r="Y5" s="11">
        <v>8.0725414196756773E-2</v>
      </c>
      <c r="Z5" s="11">
        <v>2.9639389573763126E-2</v>
      </c>
    </row>
    <row r="6" spans="1:26" ht="14.25" customHeight="1" x14ac:dyDescent="0.3">
      <c r="A6" s="22" t="s">
        <v>396</v>
      </c>
      <c r="B6" s="53">
        <f>'Historical Data'!B11/'Historical Data'!B3</f>
        <v>9.2915292523060425E-2</v>
      </c>
      <c r="C6" s="53">
        <f>'Historical Data'!C11/'Historical Data'!C3</f>
        <v>0.10630879297119906</v>
      </c>
      <c r="D6" s="53">
        <f>'Historical Data'!D11/'Historical Data'!D3</f>
        <v>0.22491399580974444</v>
      </c>
      <c r="E6" s="53">
        <f>'Historical Data'!E11/'Historical Data'!E3</f>
        <v>0.18886365147096282</v>
      </c>
      <c r="F6" s="53">
        <f>'Historical Data'!F11/'Historical Data'!F3</f>
        <v>0.19068391319304925</v>
      </c>
      <c r="G6" s="53">
        <f>Forecasting!C5/Forecasting!C2</f>
        <v>0.23765070632350074</v>
      </c>
      <c r="H6" s="53">
        <f>Forecasting!D5/Forecasting!D2</f>
        <v>0.23871903958507379</v>
      </c>
      <c r="I6" s="53">
        <f>Forecasting!E5/Forecasting!E2</f>
        <v>0.29511087627760407</v>
      </c>
      <c r="J6" s="53">
        <f>Forecasting!F5/Forecasting!F2</f>
        <v>0.30674892487076966</v>
      </c>
      <c r="K6" s="53">
        <f>Forecasting!G5/Forecasting!G2</f>
        <v>0.31700844191918631</v>
      </c>
      <c r="Q6" s="28">
        <v>3995.47196467</v>
      </c>
      <c r="R6" s="28">
        <v>5431.6046138199999</v>
      </c>
      <c r="S6" s="28">
        <v>5804.4124849230002</v>
      </c>
      <c r="T6" s="28">
        <v>9288.0593075460001</v>
      </c>
      <c r="U6" s="28">
        <v>10896.98927604</v>
      </c>
      <c r="V6" s="28">
        <v>12339.248126727582</v>
      </c>
      <c r="W6" s="28">
        <v>14863.538802259411</v>
      </c>
      <c r="X6" s="28">
        <v>16299.400171267627</v>
      </c>
      <c r="Y6" s="28">
        <v>17615.176001251893</v>
      </c>
      <c r="Z6" s="28">
        <v>18137.279065163402</v>
      </c>
    </row>
    <row r="7" spans="1:26" ht="14.25" customHeight="1" x14ac:dyDescent="0.3">
      <c r="A7" s="22" t="s">
        <v>397</v>
      </c>
      <c r="B7" s="53">
        <f>'Historical Data'!B20/'Historical Data'!B3</f>
        <v>4.2994380304502561E-2</v>
      </c>
      <c r="C7" s="53">
        <f>'Historical Data'!C20/'Historical Data'!C3</f>
        <v>5.433897486739653E-3</v>
      </c>
      <c r="D7" s="53">
        <f>'Historical Data'!D20/'Historical Data'!D3</f>
        <v>0.15658419231279994</v>
      </c>
      <c r="E7" s="53">
        <f>'Historical Data'!E20/'Historical Data'!E3</f>
        <v>0.12651185057790723</v>
      </c>
      <c r="F7" s="53">
        <f>'Historical Data'!F20/'Historical Data'!F3</f>
        <v>0.14472633224368156</v>
      </c>
      <c r="G7" s="53">
        <f>Forecasting!C9/Forecasting!C2</f>
        <v>0.1578696359514469</v>
      </c>
      <c r="H7" s="53">
        <f>Forecasting!D9/Forecasting!D2</f>
        <v>0.15063432623143982</v>
      </c>
      <c r="I7" s="53">
        <f>Forecasting!E9/Forecasting!E2</f>
        <v>0.15382067583953921</v>
      </c>
      <c r="J7" s="53">
        <f>Forecasting!F9/Forecasting!F2</f>
        <v>0.16306042196492998</v>
      </c>
      <c r="K7" s="53">
        <f>Forecasting!G9/Forecasting!G2</f>
        <v>0.17294280298388584</v>
      </c>
    </row>
    <row r="8" spans="1:26" ht="14.25" customHeight="1" x14ac:dyDescent="0.3">
      <c r="A8" s="22" t="s">
        <v>398</v>
      </c>
      <c r="B8" s="53">
        <f>'Historical Data'!B25/'Historical Data'!B3</f>
        <v>9.2029096274830104E-3</v>
      </c>
      <c r="C8" s="53">
        <f>'Historical Data'!C25/'Historical Data'!C3</f>
        <v>-2.8510256059137342E-2</v>
      </c>
      <c r="D8" s="53">
        <f>'Historical Data'!D25/'Historical Data'!D3</f>
        <v>9.4056406604818052E-2</v>
      </c>
      <c r="E8" s="53">
        <f>'Historical Data'!E25/'Historical Data'!E3</f>
        <v>7.5147098797909262E-2</v>
      </c>
      <c r="F8" s="53">
        <f>'Historical Data'!F25/'Historical Data'!F3</f>
        <v>9.6501241333160681E-2</v>
      </c>
      <c r="G8" s="53">
        <f>Forecasting!C13/Forecasting!C2</f>
        <v>0.10691018393322967</v>
      </c>
      <c r="H8" s="53">
        <f>Forecasting!D13/Forecasting!D2</f>
        <v>0.10413504996224407</v>
      </c>
      <c r="I8" s="53">
        <f>Forecasting!E13/Forecasting!E2</f>
        <v>0.10584564576077883</v>
      </c>
      <c r="J8" s="53">
        <f>Forecasting!F13/Forecasting!F2</f>
        <v>0.12051802613696644</v>
      </c>
      <c r="K8" s="53">
        <f>Forecasting!G13/Forecasting!G2</f>
        <v>0.12928134031021082</v>
      </c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6" ht="14.25" customHeight="1" x14ac:dyDescent="0.3">
      <c r="A9" s="22" t="s">
        <v>399</v>
      </c>
      <c r="B9" s="103">
        <f>B3/'Additional Data'!C14</f>
        <v>0.19200972028443913</v>
      </c>
      <c r="C9" s="103">
        <f>C3/'Additional Data'!D14</f>
        <v>0.26198345466652923</v>
      </c>
      <c r="D9" s="103">
        <f>D3/'Additional Data'!E14</f>
        <v>0.27420114293977205</v>
      </c>
      <c r="E9" s="103">
        <f>E3/'Additional Data'!F14</f>
        <v>0.41054549354479186</v>
      </c>
      <c r="F9" s="103">
        <f>F3/'Additional Data'!G14</f>
        <v>0.41972502274909229</v>
      </c>
      <c r="G9" s="103">
        <f>G3/Forecasting!C34</f>
        <v>0.40221307823326308</v>
      </c>
      <c r="H9" s="103">
        <f>H3/Forecasting!D34</f>
        <v>0.43846902713157598</v>
      </c>
      <c r="I9" s="103">
        <f>I3/Forecasting!E34</f>
        <v>0.48852951230969044</v>
      </c>
      <c r="J9" s="103">
        <f>J3/Forecasting!F34</f>
        <v>0.49396122927947955</v>
      </c>
      <c r="K9" s="103">
        <f>K3/Forecasting!G34</f>
        <v>0.47341467319517422</v>
      </c>
      <c r="O9" s="11"/>
      <c r="P9" s="7">
        <v>2021</v>
      </c>
      <c r="Q9" s="28">
        <v>3995.47196467</v>
      </c>
    </row>
    <row r="10" spans="1:26" ht="14.25" customHeight="1" x14ac:dyDescent="0.3">
      <c r="A10" s="22" t="s">
        <v>400</v>
      </c>
      <c r="B10" s="103">
        <f>'Additional Data'!C14/'Additional Data'!C16</f>
        <v>1.4930757402678494</v>
      </c>
      <c r="C10" s="103">
        <f>'Additional Data'!D14/'Additional Data'!D16</f>
        <v>1.4856723685578666</v>
      </c>
      <c r="D10" s="103">
        <f>'Additional Data'!E14/'Additional Data'!E16</f>
        <v>1.4610684910127107</v>
      </c>
      <c r="E10" s="103">
        <f>'Additional Data'!F14/'Additional Data'!F16</f>
        <v>1.4619281164135012</v>
      </c>
      <c r="F10" s="103">
        <f>'Additional Data'!G14/'Additional Data'!G16</f>
        <v>1.5663177919051228</v>
      </c>
      <c r="G10" s="103">
        <f>Forecasting!C34/Forecasting!C46</f>
        <v>1.5442285554312607</v>
      </c>
      <c r="H10" s="103">
        <f>Forecasting!D34/Forecasting!D46</f>
        <v>1.4565412885941482</v>
      </c>
      <c r="I10" s="103">
        <f>Forecasting!E34/Forecasting!E46</f>
        <v>1.317334097086279</v>
      </c>
      <c r="J10" s="103">
        <f>Forecasting!F34/Forecasting!F46</f>
        <v>1.293124188043518</v>
      </c>
      <c r="K10" s="103">
        <f>Forecasting!G34/Forecasting!G46</f>
        <v>1.2754518876617744</v>
      </c>
      <c r="O10" s="11"/>
      <c r="P10" s="7">
        <v>2022</v>
      </c>
      <c r="Q10" s="28">
        <v>5431.6046138199999</v>
      </c>
      <c r="S10" s="11">
        <v>0.35944005160066622</v>
      </c>
    </row>
    <row r="11" spans="1:26" ht="14.25" customHeight="1" x14ac:dyDescent="0.3">
      <c r="A11" s="22" t="s">
        <v>401</v>
      </c>
      <c r="B11" s="53">
        <f>'Historical Data'!B25/'Additional Data'!C14</f>
        <v>1.7670481033759847E-3</v>
      </c>
      <c r="C11" s="53">
        <f>'Historical Data'!C25/'Additional Data'!D14</f>
        <v>-7.4692153758001475E-3</v>
      </c>
      <c r="D11" s="53">
        <f>'Historical Data'!D25/'Additional Data'!E14</f>
        <v>2.5790374191849035E-2</v>
      </c>
      <c r="E11" s="53">
        <f>'Historical Data'!E25/'Additional Data'!F14</f>
        <v>3.0851302764446895E-2</v>
      </c>
      <c r="F11" s="53">
        <f>'Historical Data'!F25/'Additional Data'!G14</f>
        <v>4.0503985713876513E-2</v>
      </c>
      <c r="G11" s="53">
        <f>Forecasting!C13/Forecasting!C34</f>
        <v>4.3000674174268651E-2</v>
      </c>
      <c r="H11" s="53">
        <f>Forecasting!D13/Forecasting!D34</f>
        <v>4.5659994047243219E-2</v>
      </c>
      <c r="I11" s="53">
        <f>Forecasting!E13/Forecasting!E34</f>
        <v>5.1708721703617538E-2</v>
      </c>
      <c r="J11" s="53">
        <f>Forecasting!F13/Forecasting!F34</f>
        <v>5.9531232340952388E-2</v>
      </c>
      <c r="K11" s="53">
        <f>Forecasting!G13/Forecasting!G34</f>
        <v>6.1203683473192563E-2</v>
      </c>
      <c r="O11" s="11"/>
      <c r="P11" s="7">
        <v>2023</v>
      </c>
      <c r="Q11" s="28">
        <v>5804.4124849230002</v>
      </c>
      <c r="S11" s="11">
        <v>6.8636783714786542E-2</v>
      </c>
    </row>
    <row r="12" spans="1:26" ht="14.25" customHeight="1" x14ac:dyDescent="0.3">
      <c r="A12" s="22" t="s">
        <v>402</v>
      </c>
      <c r="B12" s="53">
        <f>'Historical Data'!B25/'Additional Data'!C16</f>
        <v>2.6383366550369975E-3</v>
      </c>
      <c r="C12" s="53">
        <f>'Historical Data'!C25/'Additional Data'!D16</f>
        <v>-1.1096806898633842E-2</v>
      </c>
      <c r="D12" s="53">
        <f>'Historical Data'!D25/'Additional Data'!E16</f>
        <v>3.7681503103138031E-2</v>
      </c>
      <c r="E12" s="53">
        <f>'Historical Data'!E25/'Additional Data'!F16</f>
        <v>4.510238693933049E-2</v>
      </c>
      <c r="F12" s="53">
        <f>'Historical Data'!F25/'Additional Data'!G16</f>
        <v>6.3442113466715702E-2</v>
      </c>
      <c r="G12" s="53">
        <f>Forecasting!C13/Forecasting!C46</f>
        <v>6.6402868962701186E-2</v>
      </c>
      <c r="H12" s="53">
        <f>Forecasting!D13/Forecasting!D46</f>
        <v>6.6505666566772773E-2</v>
      </c>
      <c r="I12" s="53">
        <f>Forecasting!E13/Forecasting!E46</f>
        <v>6.8117662216920685E-2</v>
      </c>
      <c r="J12" s="53">
        <f>Forecasting!F13/Forecasting!F46</f>
        <v>7.6981276484124075E-2</v>
      </c>
      <c r="K12" s="53">
        <f>Forecasting!G13/Forecasting!G46</f>
        <v>7.8062353617737196E-2</v>
      </c>
      <c r="O12" s="11"/>
      <c r="P12" s="7">
        <v>2024</v>
      </c>
      <c r="Q12" s="28">
        <v>9288.0593075460001</v>
      </c>
      <c r="S12" s="11">
        <v>0.60017216758316116</v>
      </c>
    </row>
    <row r="13" spans="1:26" ht="14.25" customHeight="1" x14ac:dyDescent="0.3">
      <c r="A13" s="112" t="s">
        <v>403</v>
      </c>
      <c r="B13" s="109"/>
      <c r="C13" s="109"/>
      <c r="D13" s="109"/>
      <c r="E13" s="109"/>
      <c r="F13" s="109"/>
      <c r="G13" s="109"/>
      <c r="H13" s="109"/>
      <c r="I13" s="109"/>
      <c r="J13" s="109"/>
      <c r="K13" s="91"/>
      <c r="O13" s="11"/>
      <c r="P13" s="7">
        <v>2025</v>
      </c>
      <c r="Q13" s="28">
        <v>10896.98927604</v>
      </c>
      <c r="R13" s="28">
        <v>10896.98927604</v>
      </c>
      <c r="S13" s="11">
        <v>0.17322563467987756</v>
      </c>
    </row>
    <row r="14" spans="1:26" ht="14.25" customHeight="1" x14ac:dyDescent="0.3">
      <c r="A14" s="22" t="s">
        <v>404</v>
      </c>
      <c r="B14" s="71">
        <f>Debt!B6/'Historical Data'!B62</f>
        <v>0.28587562445807191</v>
      </c>
      <c r="C14" s="71">
        <f>Debt!C6/'Historical Data'!C62</f>
        <v>0.27240590637443196</v>
      </c>
      <c r="D14" s="71">
        <f>Debt!D6/'Historical Data'!D62</f>
        <v>0.22425824225778726</v>
      </c>
      <c r="E14" s="71">
        <f>Debt!E6/'Historical Data'!E62</f>
        <v>0.18992174736943776</v>
      </c>
      <c r="F14" s="71">
        <f>Debt!F6/'Historical Data'!F62</f>
        <v>0.25787716626298729</v>
      </c>
      <c r="G14" s="71">
        <f>Debt!G6/Forecasting!C46</f>
        <v>0.19625103003438588</v>
      </c>
      <c r="H14" s="71">
        <f>Debt!H6/Forecasting!D46</f>
        <v>0.13144768864380926</v>
      </c>
      <c r="I14" s="71">
        <f>Debt!I6/Forecasting!E46</f>
        <v>1.1428998642839376E-2</v>
      </c>
      <c r="J14" s="71">
        <f>Debt!J6/Forecasting!F46</f>
        <v>0</v>
      </c>
      <c r="K14" s="71">
        <f>Debt!K6/Forecasting!G46</f>
        <v>0</v>
      </c>
      <c r="O14" s="11"/>
      <c r="P14" s="7">
        <v>2026</v>
      </c>
      <c r="Q14" s="28">
        <v>12339.248126727582</v>
      </c>
      <c r="R14" s="28">
        <v>12339.248126727582</v>
      </c>
      <c r="S14" s="11">
        <v>0.13235388364185888</v>
      </c>
    </row>
    <row r="15" spans="1:26" ht="14.25" customHeight="1" x14ac:dyDescent="0.3">
      <c r="A15" s="22" t="s">
        <v>405</v>
      </c>
      <c r="B15" s="71">
        <f>Debt!B6/'Historical Data'!B51</f>
        <v>0.19045677659070256</v>
      </c>
      <c r="C15" s="71">
        <f>Debt!C6/'Historical Data'!C51</f>
        <v>0.18523282642615155</v>
      </c>
      <c r="D15" s="71">
        <f>Debt!D6/'Historical Data'!D51</f>
        <v>0.1544426601036398</v>
      </c>
      <c r="E15" s="71">
        <f>Debt!E6/'Historical Data'!E51</f>
        <v>0.1291020960226997</v>
      </c>
      <c r="F15" s="71">
        <f>Debt!F6/'Historical Data'!F51</f>
        <v>0.15574988249864191</v>
      </c>
      <c r="G15" s="71">
        <f>Debt!G6/Forecasting!C34</f>
        <v>0.12708677698268464</v>
      </c>
      <c r="H15" s="71">
        <f>Debt!H6/Forecasting!D34</f>
        <v>9.0246455540359163E-2</v>
      </c>
      <c r="I15" s="71">
        <f>Debt!I6/Forecasting!E34</f>
        <v>8.6758542636362294E-3</v>
      </c>
      <c r="J15" s="71">
        <f>Debt!J6/Forecasting!F34</f>
        <v>0</v>
      </c>
      <c r="K15" s="71">
        <f>Debt!K6/Forecasting!G34</f>
        <v>0</v>
      </c>
      <c r="O15" s="11"/>
      <c r="P15" s="7">
        <v>2027</v>
      </c>
      <c r="Q15" s="28">
        <v>14863.538802259411</v>
      </c>
      <c r="R15" s="28">
        <v>14863.538802259411</v>
      </c>
      <c r="S15" s="11">
        <v>0.20457410772574197</v>
      </c>
    </row>
    <row r="16" spans="1:26" ht="14.25" customHeight="1" x14ac:dyDescent="0.3">
      <c r="A16" s="22" t="s">
        <v>406</v>
      </c>
      <c r="B16" s="71">
        <f>Debt!B6/'Historical Data'!B18</f>
        <v>5.5992101065130626</v>
      </c>
      <c r="C16" s="71">
        <f>Debt!C6/'Historical Data'!C18</f>
        <v>4.7202649515804538</v>
      </c>
      <c r="D16" s="71">
        <f>Debt!D6/'Historical Data'!D18</f>
        <v>1.8922700397263987</v>
      </c>
      <c r="E16" s="71">
        <f>Debt!E6/'Historical Data'!E18</f>
        <v>1.4809662856368142</v>
      </c>
      <c r="F16" s="71">
        <f>Debt!F6/'Historical Data'!F18</f>
        <v>1.8095316594844817</v>
      </c>
      <c r="G16" s="71">
        <f>Debt!G6/Forecasting!J7</f>
        <v>1.3914931006339541</v>
      </c>
      <c r="H16" s="71">
        <f>Debt!H6/Forecasting!K7</f>
        <v>0.97244801811268688</v>
      </c>
      <c r="I16" s="71">
        <f>Debt!I6/Forecasting!L7</f>
        <v>8.3858363913783054E-2</v>
      </c>
      <c r="J16" s="71">
        <f>Debt!J6/Forecasting!M7</f>
        <v>0</v>
      </c>
      <c r="K16" s="71">
        <f>Debt!K6/Forecasting!N7</f>
        <v>0</v>
      </c>
      <c r="O16" s="11"/>
      <c r="P16" s="7">
        <v>2028</v>
      </c>
      <c r="Q16" s="28">
        <v>16299.400171267627</v>
      </c>
      <c r="R16" s="28">
        <v>16299.400171267627</v>
      </c>
      <c r="S16" s="11">
        <v>9.6602928018053896E-2</v>
      </c>
    </row>
    <row r="17" spans="1:26" ht="14.25" customHeight="1" x14ac:dyDescent="0.3">
      <c r="A17" s="112" t="s">
        <v>407</v>
      </c>
      <c r="B17" s="109"/>
      <c r="C17" s="109"/>
      <c r="D17" s="109"/>
      <c r="E17" s="109"/>
      <c r="F17" s="109"/>
      <c r="G17" s="109"/>
      <c r="H17" s="109"/>
      <c r="I17" s="109"/>
      <c r="J17" s="109"/>
      <c r="K17" s="91"/>
      <c r="O17" s="11"/>
      <c r="P17" s="7">
        <v>2029</v>
      </c>
      <c r="Q17" s="28">
        <v>17615.176001251893</v>
      </c>
      <c r="R17" s="28">
        <v>17615.176001251893</v>
      </c>
      <c r="S17" s="11">
        <v>8.0725414196756773E-2</v>
      </c>
    </row>
    <row r="18" spans="1:26" ht="14.25" customHeight="1" x14ac:dyDescent="0.3">
      <c r="A18" s="22" t="s">
        <v>408</v>
      </c>
      <c r="B18" s="103">
        <f>'Historical Data'!B33/'Historical Data'!B53</f>
        <v>1.7914190108118804</v>
      </c>
      <c r="C18" s="103">
        <f>'Historical Data'!C33/'Historical Data'!C53</f>
        <v>1.9684260479309668</v>
      </c>
      <c r="D18" s="103">
        <f>'Historical Data'!D33/'Historical Data'!D53</f>
        <v>2.2020281387359515</v>
      </c>
      <c r="E18" s="103">
        <f>'Historical Data'!E33/'Historical Data'!E53</f>
        <v>1.8870509157456743</v>
      </c>
      <c r="F18" s="103">
        <f>'Historical Data'!F33/'Historical Data'!F53</f>
        <v>1.4589310366766843</v>
      </c>
      <c r="G18" s="103">
        <f>Forecasting!C22/Forecasting!C36</f>
        <v>1.5134179069989881</v>
      </c>
      <c r="H18" s="103">
        <f>Forecasting!D22/Forecasting!D36</f>
        <v>1.7776708314677505</v>
      </c>
      <c r="I18" s="103">
        <f>Forecasting!E22/Forecasting!E36</f>
        <v>1.959488455676907</v>
      </c>
      <c r="J18" s="103">
        <f>Forecasting!F22/Forecasting!F36</f>
        <v>2.0886048513934345</v>
      </c>
      <c r="K18" s="103">
        <f>Forecasting!G22/Forecasting!G36</f>
        <v>2.2725867757070284</v>
      </c>
      <c r="O18" s="11"/>
      <c r="P18" s="7">
        <v>2030</v>
      </c>
      <c r="Q18" s="28">
        <v>18137.279065163402</v>
      </c>
      <c r="R18" s="28">
        <v>18137.279065163402</v>
      </c>
      <c r="S18" s="11">
        <v>2.9639389573763126E-2</v>
      </c>
    </row>
    <row r="19" spans="1:26" ht="14.25" customHeight="1" x14ac:dyDescent="0.3">
      <c r="A19" s="22" t="s">
        <v>409</v>
      </c>
      <c r="B19" s="103">
        <f>('Historical Data'!B34+'Historical Data'!B36)/'Historical Data'!B53</f>
        <v>1.0118983436447118</v>
      </c>
      <c r="C19" s="103">
        <f>('Historical Data'!C34+'Historical Data'!C36)/'Historical Data'!C53</f>
        <v>1.4789337587367624</v>
      </c>
      <c r="D19" s="103">
        <f>('Historical Data'!D34+'Historical Data'!D36)/'Historical Data'!D53</f>
        <v>1.4525767654974509</v>
      </c>
      <c r="E19" s="103">
        <f>('Historical Data'!E34+'Historical Data'!E36)/'Historical Data'!E53</f>
        <v>1.3754733867226967</v>
      </c>
      <c r="F19" s="103">
        <f>('Historical Data'!F34+'Historical Data'!F36)/'Historical Data'!F53</f>
        <v>1.0788904474213925</v>
      </c>
      <c r="G19" s="103">
        <f>(Forecasting!C23+Forecasting!C25)/Forecasting!C36</f>
        <v>1.0651468083860605</v>
      </c>
      <c r="H19" s="103">
        <f>(Forecasting!D23+Forecasting!D25)/Forecasting!D36</f>
        <v>1.2707137001108069</v>
      </c>
      <c r="I19" s="103">
        <f>(Forecasting!E23+Forecasting!E25)/Forecasting!E36</f>
        <v>1.4308551704869028</v>
      </c>
      <c r="J19" s="103">
        <f>(Forecasting!F23+Forecasting!F25)/Forecasting!F36</f>
        <v>1.4904692278483356</v>
      </c>
      <c r="K19" s="103">
        <f>(Forecasting!G23+Forecasting!G25)/Forecasting!G36</f>
        <v>1.5428039425580791</v>
      </c>
    </row>
    <row r="20" spans="1:26" ht="14.25" customHeight="1" x14ac:dyDescent="0.3">
      <c r="A20" s="112" t="s">
        <v>410</v>
      </c>
      <c r="B20" s="109"/>
      <c r="C20" s="109"/>
      <c r="D20" s="109"/>
      <c r="E20" s="109"/>
      <c r="F20" s="109"/>
      <c r="G20" s="109"/>
      <c r="H20" s="109"/>
      <c r="I20" s="109"/>
      <c r="J20" s="109"/>
      <c r="K20" s="91"/>
    </row>
    <row r="21" spans="1:26" ht="14.25" customHeight="1" x14ac:dyDescent="0.3">
      <c r="A21" s="22" t="s">
        <v>411</v>
      </c>
      <c r="B21" s="84">
        <f>'Historical Data'!B36/'Historical Data'!B3*365</f>
        <v>176.84188581980396</v>
      </c>
      <c r="C21" s="84">
        <f>'Historical Data'!C36/'Historical Data'!C3*365</f>
        <v>145.37446397433365</v>
      </c>
      <c r="D21" s="84">
        <f>'Historical Data'!D36/'Historical Data'!D3*365</f>
        <v>145.50900112627062</v>
      </c>
      <c r="E21" s="84">
        <f>'Historical Data'!E36/'Historical Data'!E3*365</f>
        <v>136.33643969828663</v>
      </c>
      <c r="F21" s="84">
        <f>'Historical Data'!F36/'Historical Data'!F3*365</f>
        <v>178.20256126296539</v>
      </c>
      <c r="G21" s="22">
        <f>Forecasting!C25/Forecasting!C2*365</f>
        <v>160</v>
      </c>
      <c r="H21" s="22">
        <f>Forecasting!D25/Forecasting!D2*365</f>
        <v>160</v>
      </c>
      <c r="I21" s="22">
        <f>Forecasting!E25/Forecasting!E2*365</f>
        <v>160</v>
      </c>
      <c r="J21" s="22">
        <f>Forecasting!F25/Forecasting!F2*365</f>
        <v>160</v>
      </c>
      <c r="K21" s="22">
        <f>Forecasting!G25/Forecasting!G2*365</f>
        <v>160</v>
      </c>
      <c r="Q21" s="94">
        <v>1.0118983436447118</v>
      </c>
      <c r="R21" s="94">
        <v>1.4789337587367624</v>
      </c>
      <c r="S21" s="94">
        <v>1.4525767654974509</v>
      </c>
      <c r="T21" s="94">
        <v>1.3754733867226967</v>
      </c>
      <c r="U21" s="94">
        <v>1.0788904474213925</v>
      </c>
      <c r="V21" s="94">
        <v>1.0651468083860605</v>
      </c>
      <c r="W21" s="94">
        <v>1.2707137001108069</v>
      </c>
      <c r="X21" s="94">
        <v>1.4308551704869028</v>
      </c>
      <c r="Y21" s="94">
        <v>1.4904692278483356</v>
      </c>
      <c r="Z21" s="94">
        <v>1.5428039425580791</v>
      </c>
    </row>
    <row r="22" spans="1:26" ht="14.25" customHeight="1" x14ac:dyDescent="0.3">
      <c r="A22" s="22" t="s">
        <v>412</v>
      </c>
      <c r="B22" s="84">
        <f>'Historical Data'!B37/'Historical Data'!B7*365</f>
        <v>76.322440181792388</v>
      </c>
      <c r="C22" s="84">
        <f>'Historical Data'!C37/'Historical Data'!C7*365</f>
        <v>68.31739284239903</v>
      </c>
      <c r="D22" s="84">
        <f>'Historical Data'!D37/'Historical Data'!D7*365</f>
        <v>81.122125480856965</v>
      </c>
      <c r="E22" s="84">
        <f>'Historical Data'!E37/'Historical Data'!E7*365</f>
        <v>58.909960614929609</v>
      </c>
      <c r="F22" s="84">
        <f>'Historical Data'!F37/'Historical Data'!F7*365</f>
        <v>63.592607931728551</v>
      </c>
      <c r="G22" s="22">
        <f>Forecasting!C26/Forecasting!C4*365</f>
        <v>80</v>
      </c>
      <c r="H22" s="22">
        <f>Forecasting!D26/Forecasting!D4*365</f>
        <v>79.999999999999986</v>
      </c>
      <c r="I22" s="22">
        <f>Forecasting!E26/Forecasting!E4*365</f>
        <v>80</v>
      </c>
      <c r="J22" s="22">
        <f>Forecasting!F26/Forecasting!F4*365</f>
        <v>80</v>
      </c>
      <c r="K22" s="22">
        <f>Forecasting!G26/Forecasting!G4*365</f>
        <v>80</v>
      </c>
      <c r="Q22" s="94">
        <v>1.7914190108118804</v>
      </c>
      <c r="R22" s="94">
        <v>1.0118983436447118</v>
      </c>
    </row>
    <row r="23" spans="1:26" ht="14.25" customHeight="1" x14ac:dyDescent="0.3">
      <c r="A23" s="22" t="s">
        <v>413</v>
      </c>
      <c r="B23" s="84">
        <f>'Historical Data'!B54/'Historical Data'!B7*365</f>
        <v>78.535420403914358</v>
      </c>
      <c r="C23" s="84">
        <f>'Historical Data'!C54/'Historical Data'!C7*365</f>
        <v>42.695720443936708</v>
      </c>
      <c r="D23" s="84">
        <f>'Historical Data'!D54/'Historical Data'!D7*365</f>
        <v>46.197321405619732</v>
      </c>
      <c r="E23" s="84">
        <f>'Historical Data'!E54/'Historical Data'!E7*365</f>
        <v>56.811788856130761</v>
      </c>
      <c r="F23" s="84">
        <f>'Historical Data'!F54/'Historical Data'!F7*365</f>
        <v>107.30624297684466</v>
      </c>
      <c r="G23" s="22">
        <f>Forecasting!C37/Forecasting!C4*365</f>
        <v>100</v>
      </c>
      <c r="H23" s="22">
        <f>Forecasting!D37/Forecasting!D4*365</f>
        <v>100.00000000000001</v>
      </c>
      <c r="I23" s="22">
        <f>Forecasting!E37/Forecasting!E4*365</f>
        <v>100</v>
      </c>
      <c r="J23" s="22">
        <f>Forecasting!F37/Forecasting!F4*365</f>
        <v>100</v>
      </c>
      <c r="K23" s="22">
        <f>Forecasting!G37/Forecasting!G4*365</f>
        <v>100.00000000000001</v>
      </c>
      <c r="Q23" s="94">
        <v>1.9684260479309668</v>
      </c>
      <c r="R23" s="94">
        <v>1.4789337587367624</v>
      </c>
    </row>
    <row r="24" spans="1:26" ht="14.25" customHeight="1" x14ac:dyDescent="0.3">
      <c r="A24" s="22" t="s">
        <v>414</v>
      </c>
      <c r="B24" s="84">
        <f t="shared" ref="B24:K24" si="2">B21+B22-B23</f>
        <v>174.62890559768198</v>
      </c>
      <c r="C24" s="84">
        <f t="shared" si="2"/>
        <v>170.996136372796</v>
      </c>
      <c r="D24" s="84">
        <f t="shared" si="2"/>
        <v>180.43380520150785</v>
      </c>
      <c r="E24" s="84">
        <f t="shared" si="2"/>
        <v>138.43461145708548</v>
      </c>
      <c r="F24" s="84">
        <f t="shared" si="2"/>
        <v>134.48892621784927</v>
      </c>
      <c r="G24" s="22">
        <f t="shared" si="2"/>
        <v>140</v>
      </c>
      <c r="H24" s="22">
        <f t="shared" si="2"/>
        <v>140</v>
      </c>
      <c r="I24" s="22">
        <f t="shared" si="2"/>
        <v>140</v>
      </c>
      <c r="J24" s="22">
        <f t="shared" si="2"/>
        <v>140</v>
      </c>
      <c r="K24" s="22">
        <f t="shared" si="2"/>
        <v>140</v>
      </c>
      <c r="Q24" s="94">
        <v>2.2020281387359515</v>
      </c>
      <c r="R24" s="94">
        <v>1.4525767654974509</v>
      </c>
    </row>
    <row r="25" spans="1:26" ht="14.25" customHeight="1" x14ac:dyDescent="0.3">
      <c r="A25" s="112"/>
      <c r="B25" s="109"/>
      <c r="C25" s="109"/>
      <c r="D25" s="109"/>
      <c r="E25" s="109"/>
      <c r="F25" s="109"/>
      <c r="G25" s="109"/>
      <c r="H25" s="109"/>
      <c r="I25" s="109"/>
      <c r="J25" s="109"/>
      <c r="K25" s="91"/>
      <c r="Q25" s="94">
        <v>1.8870509157456743</v>
      </c>
      <c r="R25" s="94">
        <v>1.3754733867226967</v>
      </c>
    </row>
    <row r="26" spans="1:26" ht="14.25" customHeight="1" x14ac:dyDescent="0.3">
      <c r="Q26" s="94">
        <v>1.4589310366766843</v>
      </c>
      <c r="R26" s="94">
        <v>1.0788904474213925</v>
      </c>
    </row>
    <row r="27" spans="1:26" ht="14.25" customHeight="1" x14ac:dyDescent="0.3">
      <c r="B27" s="11"/>
      <c r="C27" s="11"/>
      <c r="D27" s="11"/>
      <c r="E27" s="11"/>
      <c r="F27" s="11"/>
      <c r="Q27" s="94">
        <v>1.5134179069989881</v>
      </c>
      <c r="R27" s="94">
        <v>1.0651468083860605</v>
      </c>
    </row>
    <row r="28" spans="1:26" ht="14.25" customHeight="1" x14ac:dyDescent="0.3">
      <c r="Q28" s="94">
        <v>1.7776708314677505</v>
      </c>
      <c r="R28" s="94">
        <v>1.2707137001108069</v>
      </c>
    </row>
    <row r="29" spans="1:26" ht="14.25" customHeight="1" x14ac:dyDescent="0.3">
      <c r="Q29" s="94">
        <v>1.959488455676907</v>
      </c>
      <c r="R29" s="94">
        <v>1.4308551704869028</v>
      </c>
    </row>
    <row r="30" spans="1:26" ht="14.25" customHeight="1" x14ac:dyDescent="0.3">
      <c r="Q30" s="94">
        <v>2.0886048513934345</v>
      </c>
      <c r="R30" s="94">
        <v>1.4904692278483356</v>
      </c>
    </row>
    <row r="31" spans="1:26" ht="14.25" customHeight="1" x14ac:dyDescent="0.3">
      <c r="B31" s="60"/>
      <c r="C31" s="60"/>
      <c r="D31" s="60"/>
      <c r="E31" s="60"/>
      <c r="F31" s="60"/>
      <c r="G31" s="60"/>
      <c r="H31" s="60"/>
      <c r="I31" s="60"/>
      <c r="J31" s="60"/>
      <c r="K31" s="60"/>
      <c r="Q31" s="94">
        <v>2.2725867757070284</v>
      </c>
      <c r="R31" s="94">
        <v>1.5428039425580791</v>
      </c>
    </row>
    <row r="32" spans="1:26" ht="14.25" customHeight="1" x14ac:dyDescent="0.3">
      <c r="B32" s="99"/>
      <c r="C32" s="99"/>
      <c r="D32" s="99"/>
      <c r="E32" s="99"/>
      <c r="F32" s="99"/>
      <c r="G32" s="99"/>
      <c r="H32" s="99"/>
      <c r="I32" s="99"/>
      <c r="J32" s="99"/>
      <c r="K32" s="99"/>
    </row>
    <row r="33" s="7" customFormat="1" ht="14.25" customHeight="1" x14ac:dyDescent="0.3"/>
    <row r="34" s="7" customFormat="1" ht="14.25" customHeight="1" x14ac:dyDescent="0.3"/>
    <row r="35" s="7" customFormat="1" ht="14.25" customHeight="1" x14ac:dyDescent="0.3"/>
    <row r="36" s="7" customFormat="1" ht="14.25" customHeight="1" x14ac:dyDescent="0.3"/>
    <row r="37" s="7" customFormat="1" ht="14.25" customHeight="1" x14ac:dyDescent="0.3"/>
    <row r="38" s="7" customFormat="1" ht="14.25" customHeight="1" x14ac:dyDescent="0.3"/>
    <row r="39" s="7" customFormat="1" ht="14.25" customHeight="1" x14ac:dyDescent="0.3"/>
    <row r="40" s="7" customFormat="1" ht="14.25" customHeight="1" x14ac:dyDescent="0.3"/>
    <row r="41" s="7" customFormat="1" ht="14.25" customHeight="1" x14ac:dyDescent="0.3"/>
    <row r="42" s="7" customFormat="1" ht="14.25" customHeight="1" x14ac:dyDescent="0.3"/>
    <row r="43" s="7" customFormat="1" ht="14.25" customHeight="1" x14ac:dyDescent="0.3"/>
    <row r="44" s="7" customFormat="1" ht="14.25" customHeight="1" x14ac:dyDescent="0.3"/>
    <row r="45" s="7" customFormat="1" ht="14.25" customHeight="1" x14ac:dyDescent="0.3"/>
    <row r="46" s="7" customFormat="1" ht="14.25" customHeight="1" x14ac:dyDescent="0.3"/>
    <row r="47" s="7" customFormat="1" ht="14.25" customHeight="1" x14ac:dyDescent="0.3"/>
    <row r="48" s="7" customFormat="1" ht="14.25" customHeight="1" x14ac:dyDescent="0.3"/>
    <row r="49" s="7" customFormat="1" ht="14.25" customHeight="1" x14ac:dyDescent="0.3"/>
    <row r="50" s="7" customFormat="1" ht="14.25" customHeight="1" x14ac:dyDescent="0.3"/>
    <row r="51" s="7" customFormat="1" ht="14.25" customHeight="1" x14ac:dyDescent="0.3"/>
    <row r="52" s="7" customFormat="1" ht="14.25" customHeight="1" x14ac:dyDescent="0.3"/>
    <row r="53" s="7" customFormat="1" ht="14.25" customHeight="1" x14ac:dyDescent="0.3"/>
    <row r="54" s="7" customFormat="1" ht="14.25" customHeight="1" x14ac:dyDescent="0.3"/>
    <row r="55" s="7" customFormat="1" ht="14.25" customHeight="1" x14ac:dyDescent="0.3"/>
    <row r="56" s="7" customFormat="1" ht="14.25" customHeight="1" x14ac:dyDescent="0.3"/>
    <row r="57" s="7" customFormat="1" ht="14.25" customHeight="1" x14ac:dyDescent="0.3"/>
    <row r="58" s="7" customFormat="1" ht="14.25" customHeight="1" x14ac:dyDescent="0.3"/>
    <row r="59" s="7" customFormat="1" ht="14.25" customHeight="1" x14ac:dyDescent="0.3"/>
    <row r="60" s="7" customFormat="1" ht="14.25" customHeight="1" x14ac:dyDescent="0.3"/>
    <row r="61" s="7" customFormat="1" ht="14.25" customHeight="1" x14ac:dyDescent="0.3"/>
    <row r="62" s="7" customFormat="1" ht="14.25" customHeight="1" x14ac:dyDescent="0.3"/>
    <row r="63" s="7" customFormat="1" ht="14.25" customHeight="1" x14ac:dyDescent="0.3"/>
    <row r="64" s="7" customFormat="1" ht="14.25" customHeight="1" x14ac:dyDescent="0.3"/>
    <row r="65" s="7" customFormat="1" ht="14.25" customHeight="1" x14ac:dyDescent="0.3"/>
    <row r="66" s="7" customFormat="1" ht="14.25" customHeight="1" x14ac:dyDescent="0.3"/>
    <row r="67" s="7" customFormat="1" ht="14.25" customHeight="1" x14ac:dyDescent="0.3"/>
    <row r="68" s="7" customFormat="1" ht="14.25" customHeight="1" x14ac:dyDescent="0.3"/>
    <row r="69" s="7" customFormat="1" ht="14.25" customHeight="1" x14ac:dyDescent="0.3"/>
    <row r="70" s="7" customFormat="1" ht="14.25" customHeight="1" x14ac:dyDescent="0.3"/>
    <row r="71" s="7" customFormat="1" ht="14.25" customHeight="1" x14ac:dyDescent="0.3"/>
    <row r="72" s="7" customFormat="1" ht="14.25" customHeight="1" x14ac:dyDescent="0.3"/>
    <row r="73" s="7" customFormat="1" ht="14.25" customHeight="1" x14ac:dyDescent="0.3"/>
    <row r="74" s="7" customFormat="1" ht="14.25" customHeight="1" x14ac:dyDescent="0.3"/>
    <row r="75" s="7" customFormat="1" ht="14.25" customHeight="1" x14ac:dyDescent="0.3"/>
    <row r="76" s="7" customFormat="1" ht="14.25" customHeight="1" x14ac:dyDescent="0.3"/>
    <row r="77" s="7" customFormat="1" ht="14.25" customHeight="1" x14ac:dyDescent="0.3"/>
    <row r="78" s="7" customFormat="1" ht="14.25" customHeight="1" x14ac:dyDescent="0.3"/>
    <row r="79" s="7" customFormat="1" ht="14.25" customHeight="1" x14ac:dyDescent="0.3"/>
    <row r="80" s="7" customFormat="1" ht="14.25" customHeight="1" x14ac:dyDescent="0.3"/>
    <row r="81" s="7" customFormat="1" ht="14.25" customHeight="1" x14ac:dyDescent="0.3"/>
    <row r="82" s="7" customFormat="1" ht="14.25" customHeight="1" x14ac:dyDescent="0.3"/>
    <row r="83" s="7" customFormat="1" ht="14.25" customHeight="1" x14ac:dyDescent="0.3"/>
    <row r="84" s="7" customFormat="1" ht="14.25" customHeight="1" x14ac:dyDescent="0.3"/>
    <row r="85" s="7" customFormat="1" ht="14.25" customHeight="1" x14ac:dyDescent="0.3"/>
    <row r="86" s="7" customFormat="1" ht="14.25" customHeight="1" x14ac:dyDescent="0.3"/>
    <row r="87" s="7" customFormat="1" ht="14.25" customHeight="1" x14ac:dyDescent="0.3"/>
    <row r="88" s="7" customFormat="1" ht="14.25" customHeight="1" x14ac:dyDescent="0.3"/>
    <row r="89" s="7" customFormat="1" ht="14.25" customHeight="1" x14ac:dyDescent="0.3"/>
    <row r="90" s="7" customFormat="1" ht="14.25" customHeight="1" x14ac:dyDescent="0.3"/>
    <row r="91" s="7" customFormat="1" ht="14.25" customHeight="1" x14ac:dyDescent="0.3"/>
    <row r="92" s="7" customFormat="1" ht="14.25" customHeight="1" x14ac:dyDescent="0.3"/>
    <row r="93" s="7" customFormat="1" ht="14.25" customHeight="1" x14ac:dyDescent="0.3"/>
    <row r="94" s="7" customFormat="1" ht="14.25" customHeight="1" x14ac:dyDescent="0.3"/>
    <row r="95" s="7" customFormat="1" ht="14.25" customHeight="1" x14ac:dyDescent="0.3"/>
    <row r="96" s="7" customFormat="1" ht="14.25" customHeight="1" x14ac:dyDescent="0.3"/>
    <row r="97" s="7" customFormat="1" ht="14.25" customHeight="1" x14ac:dyDescent="0.3"/>
    <row r="98" s="7" customFormat="1" ht="14.25" customHeight="1" x14ac:dyDescent="0.3"/>
    <row r="99" s="7" customFormat="1" ht="14.25" customHeight="1" x14ac:dyDescent="0.3"/>
    <row r="100" s="7" customFormat="1" ht="14.25" customHeight="1" x14ac:dyDescent="0.3"/>
    <row r="101" s="7" customFormat="1" ht="14.25" customHeight="1" x14ac:dyDescent="0.3"/>
    <row r="102" s="7" customFormat="1" ht="14.25" customHeight="1" x14ac:dyDescent="0.3"/>
    <row r="103" s="7" customFormat="1" ht="14.25" customHeight="1" x14ac:dyDescent="0.3"/>
    <row r="104" s="7" customFormat="1" ht="14.25" customHeight="1" x14ac:dyDescent="0.3"/>
    <row r="105" s="7" customFormat="1" ht="14.25" customHeight="1" x14ac:dyDescent="0.3"/>
    <row r="106" s="7" customFormat="1" ht="14.25" customHeight="1" x14ac:dyDescent="0.3"/>
    <row r="107" s="7" customFormat="1" ht="14.25" customHeight="1" x14ac:dyDescent="0.3"/>
    <row r="108" s="7" customFormat="1" ht="14.25" customHeight="1" x14ac:dyDescent="0.3"/>
    <row r="109" s="7" customFormat="1" ht="14.25" customHeight="1" x14ac:dyDescent="0.3"/>
    <row r="110" s="7" customFormat="1" ht="14.25" customHeight="1" x14ac:dyDescent="0.3"/>
    <row r="111" s="7" customFormat="1" ht="14.25" customHeight="1" x14ac:dyDescent="0.3"/>
    <row r="112" s="7" customFormat="1" ht="14.25" customHeight="1" x14ac:dyDescent="0.3"/>
    <row r="113" s="7" customFormat="1" ht="14.25" customHeight="1" x14ac:dyDescent="0.3"/>
    <row r="114" s="7" customFormat="1" ht="14.25" customHeight="1" x14ac:dyDescent="0.3"/>
    <row r="115" s="7" customFormat="1" ht="14.25" customHeight="1" x14ac:dyDescent="0.3"/>
    <row r="116" s="7" customFormat="1" ht="14.25" customHeight="1" x14ac:dyDescent="0.3"/>
    <row r="117" s="7" customFormat="1" ht="14.25" customHeight="1" x14ac:dyDescent="0.3"/>
    <row r="118" s="7" customFormat="1" ht="14.25" customHeight="1" x14ac:dyDescent="0.3"/>
    <row r="119" s="7" customFormat="1" ht="14.25" customHeight="1" x14ac:dyDescent="0.3"/>
    <row r="120" s="7" customFormat="1" ht="14.25" customHeight="1" x14ac:dyDescent="0.3"/>
    <row r="121" s="7" customFormat="1" ht="14.25" customHeight="1" x14ac:dyDescent="0.3"/>
    <row r="122" s="7" customFormat="1" ht="14.25" customHeight="1" x14ac:dyDescent="0.3"/>
    <row r="123" s="7" customFormat="1" ht="14.25" customHeight="1" x14ac:dyDescent="0.3"/>
    <row r="124" s="7" customFormat="1" ht="14.25" customHeight="1" x14ac:dyDescent="0.3"/>
    <row r="125" s="7" customFormat="1" ht="14.25" customHeight="1" x14ac:dyDescent="0.3"/>
    <row r="126" s="7" customFormat="1" ht="14.25" customHeight="1" x14ac:dyDescent="0.3"/>
    <row r="127" s="7" customFormat="1" ht="14.25" customHeight="1" x14ac:dyDescent="0.3"/>
    <row r="128" s="7" customFormat="1" ht="14.25" customHeight="1" x14ac:dyDescent="0.3"/>
    <row r="129" s="7" customFormat="1" ht="14.25" customHeight="1" x14ac:dyDescent="0.3"/>
    <row r="130" s="7" customFormat="1" ht="14.25" customHeight="1" x14ac:dyDescent="0.3"/>
    <row r="131" s="7" customFormat="1" ht="14.25" customHeight="1" x14ac:dyDescent="0.3"/>
    <row r="132" s="7" customFormat="1" ht="14.25" customHeight="1" x14ac:dyDescent="0.3"/>
    <row r="133" s="7" customFormat="1" ht="14.25" customHeight="1" x14ac:dyDescent="0.3"/>
    <row r="134" s="7" customFormat="1" ht="14.25" customHeight="1" x14ac:dyDescent="0.3"/>
    <row r="135" s="7" customFormat="1" ht="14.25" customHeight="1" x14ac:dyDescent="0.3"/>
    <row r="136" s="7" customFormat="1" ht="14.25" customHeight="1" x14ac:dyDescent="0.3"/>
    <row r="137" s="7" customFormat="1" ht="14.25" customHeight="1" x14ac:dyDescent="0.3"/>
    <row r="138" s="7" customFormat="1" ht="14.25" customHeight="1" x14ac:dyDescent="0.3"/>
    <row r="139" s="7" customFormat="1" ht="14.25" customHeight="1" x14ac:dyDescent="0.3"/>
    <row r="140" s="7" customFormat="1" ht="14.25" customHeight="1" x14ac:dyDescent="0.3"/>
    <row r="141" s="7" customFormat="1" ht="14.25" customHeight="1" x14ac:dyDescent="0.3"/>
    <row r="142" s="7" customFormat="1" ht="14.25" customHeight="1" x14ac:dyDescent="0.3"/>
    <row r="143" s="7" customFormat="1" ht="14.25" customHeight="1" x14ac:dyDescent="0.3"/>
    <row r="144" s="7" customFormat="1" ht="14.25" customHeight="1" x14ac:dyDescent="0.3"/>
    <row r="145" s="7" customFormat="1" ht="14.25" customHeight="1" x14ac:dyDescent="0.3"/>
    <row r="146" s="7" customFormat="1" ht="14.25" customHeight="1" x14ac:dyDescent="0.3"/>
    <row r="147" s="7" customFormat="1" ht="14.25" customHeight="1" x14ac:dyDescent="0.3"/>
    <row r="148" s="7" customFormat="1" ht="14.25" customHeight="1" x14ac:dyDescent="0.3"/>
    <row r="149" s="7" customFormat="1" ht="14.25" customHeight="1" x14ac:dyDescent="0.3"/>
    <row r="150" s="7" customFormat="1" ht="14.25" customHeight="1" x14ac:dyDescent="0.3"/>
    <row r="151" s="7" customFormat="1" ht="14.25" customHeight="1" x14ac:dyDescent="0.3"/>
    <row r="152" s="7" customFormat="1" ht="14.25" customHeight="1" x14ac:dyDescent="0.3"/>
    <row r="153" s="7" customFormat="1" ht="14.25" customHeight="1" x14ac:dyDescent="0.3"/>
    <row r="154" s="7" customFormat="1" ht="14.25" customHeight="1" x14ac:dyDescent="0.3"/>
    <row r="155" s="7" customFormat="1" ht="14.25" customHeight="1" x14ac:dyDescent="0.3"/>
    <row r="156" s="7" customFormat="1" ht="14.25" customHeight="1" x14ac:dyDescent="0.3"/>
    <row r="157" s="7" customFormat="1" ht="14.25" customHeight="1" x14ac:dyDescent="0.3"/>
    <row r="158" s="7" customFormat="1" ht="14.25" customHeight="1" x14ac:dyDescent="0.3"/>
    <row r="159" s="7" customFormat="1" ht="14.25" customHeight="1" x14ac:dyDescent="0.3"/>
    <row r="160" s="7" customFormat="1" ht="14.25" customHeight="1" x14ac:dyDescent="0.3"/>
    <row r="161" s="7" customFormat="1" ht="14.25" customHeight="1" x14ac:dyDescent="0.3"/>
    <row r="162" s="7" customFormat="1" ht="14.25" customHeight="1" x14ac:dyDescent="0.3"/>
    <row r="163" s="7" customFormat="1" ht="14.25" customHeight="1" x14ac:dyDescent="0.3"/>
    <row r="164" s="7" customFormat="1" ht="14.25" customHeight="1" x14ac:dyDescent="0.3"/>
    <row r="165" s="7" customFormat="1" ht="14.25" customHeight="1" x14ac:dyDescent="0.3"/>
    <row r="166" s="7" customFormat="1" ht="14.25" customHeight="1" x14ac:dyDescent="0.3"/>
    <row r="167" s="7" customFormat="1" ht="14.25" customHeight="1" x14ac:dyDescent="0.3"/>
    <row r="168" s="7" customFormat="1" ht="14.25" customHeight="1" x14ac:dyDescent="0.3"/>
    <row r="169" s="7" customFormat="1" ht="14.25" customHeight="1" x14ac:dyDescent="0.3"/>
    <row r="170" s="7" customFormat="1" ht="14.25" customHeight="1" x14ac:dyDescent="0.3"/>
    <row r="171" s="7" customFormat="1" ht="14.25" customHeight="1" x14ac:dyDescent="0.3"/>
    <row r="172" s="7" customFormat="1" ht="14.25" customHeight="1" x14ac:dyDescent="0.3"/>
    <row r="173" s="7" customFormat="1" ht="14.25" customHeight="1" x14ac:dyDescent="0.3"/>
    <row r="174" s="7" customFormat="1" ht="14.25" customHeight="1" x14ac:dyDescent="0.3"/>
    <row r="175" s="7" customFormat="1" ht="14.25" customHeight="1" x14ac:dyDescent="0.3"/>
    <row r="176" s="7" customFormat="1" ht="14.25" customHeight="1" x14ac:dyDescent="0.3"/>
    <row r="177" s="7" customFormat="1" ht="14.25" customHeight="1" x14ac:dyDescent="0.3"/>
    <row r="178" s="7" customFormat="1" ht="14.25" customHeight="1" x14ac:dyDescent="0.3"/>
    <row r="179" s="7" customFormat="1" ht="14.25" customHeight="1" x14ac:dyDescent="0.3"/>
    <row r="180" s="7" customFormat="1" ht="14.25" customHeight="1" x14ac:dyDescent="0.3"/>
    <row r="181" s="7" customFormat="1" ht="14.25" customHeight="1" x14ac:dyDescent="0.3"/>
    <row r="182" s="7" customFormat="1" ht="14.25" customHeight="1" x14ac:dyDescent="0.3"/>
    <row r="183" s="7" customFormat="1" ht="14.25" customHeight="1" x14ac:dyDescent="0.3"/>
    <row r="184" s="7" customFormat="1" ht="14.25" customHeight="1" x14ac:dyDescent="0.3"/>
    <row r="185" s="7" customFormat="1" ht="14.25" customHeight="1" x14ac:dyDescent="0.3"/>
    <row r="186" s="7" customFormat="1" ht="14.25" customHeight="1" x14ac:dyDescent="0.3"/>
    <row r="187" s="7" customFormat="1" ht="14.25" customHeight="1" x14ac:dyDescent="0.3"/>
    <row r="188" s="7" customFormat="1" ht="14.25" customHeight="1" x14ac:dyDescent="0.3"/>
    <row r="189" s="7" customFormat="1" ht="14.25" customHeight="1" x14ac:dyDescent="0.3"/>
    <row r="190" s="7" customFormat="1" ht="14.25" customHeight="1" x14ac:dyDescent="0.3"/>
    <row r="191" s="7" customFormat="1" ht="14.25" customHeight="1" x14ac:dyDescent="0.3"/>
    <row r="192" s="7" customFormat="1" ht="14.25" customHeight="1" x14ac:dyDescent="0.3"/>
    <row r="193" s="7" customFormat="1" ht="14.25" customHeight="1" x14ac:dyDescent="0.3"/>
    <row r="194" s="7" customFormat="1" ht="14.25" customHeight="1" x14ac:dyDescent="0.3"/>
    <row r="195" s="7" customFormat="1" ht="14.25" customHeight="1" x14ac:dyDescent="0.3"/>
    <row r="196" s="7" customFormat="1" ht="14.25" customHeight="1" x14ac:dyDescent="0.3"/>
    <row r="197" s="7" customFormat="1" ht="14.25" customHeight="1" x14ac:dyDescent="0.3"/>
    <row r="198" s="7" customFormat="1" ht="14.25" customHeight="1" x14ac:dyDescent="0.3"/>
    <row r="199" s="7" customFormat="1" ht="14.25" customHeight="1" x14ac:dyDescent="0.3"/>
    <row r="200" s="7" customFormat="1" ht="14.25" customHeight="1" x14ac:dyDescent="0.3"/>
    <row r="201" s="7" customFormat="1" ht="14.25" customHeight="1" x14ac:dyDescent="0.3"/>
    <row r="202" s="7" customFormat="1" ht="14.25" customHeight="1" x14ac:dyDescent="0.3"/>
    <row r="203" s="7" customFormat="1" ht="14.25" customHeight="1" x14ac:dyDescent="0.3"/>
    <row r="204" s="7" customFormat="1" ht="14.25" customHeight="1" x14ac:dyDescent="0.3"/>
    <row r="205" s="7" customFormat="1" ht="14.25" customHeight="1" x14ac:dyDescent="0.3"/>
    <row r="206" s="7" customFormat="1" ht="14.25" customHeight="1" x14ac:dyDescent="0.3"/>
    <row r="207" s="7" customFormat="1" ht="14.25" customHeight="1" x14ac:dyDescent="0.3"/>
    <row r="208" s="7" customFormat="1" ht="14.25" customHeight="1" x14ac:dyDescent="0.3"/>
    <row r="209" s="7" customFormat="1" ht="14.25" customHeight="1" x14ac:dyDescent="0.3"/>
    <row r="210" s="7" customFormat="1" ht="14.25" customHeight="1" x14ac:dyDescent="0.3"/>
    <row r="211" s="7" customFormat="1" ht="14.25" customHeight="1" x14ac:dyDescent="0.3"/>
    <row r="212" s="7" customFormat="1" ht="14.25" customHeight="1" x14ac:dyDescent="0.3"/>
    <row r="213" s="7" customFormat="1" ht="14.25" customHeight="1" x14ac:dyDescent="0.3"/>
    <row r="214" s="7" customFormat="1" ht="14.25" customHeight="1" x14ac:dyDescent="0.3"/>
    <row r="215" s="7" customFormat="1" ht="14.25" customHeight="1" x14ac:dyDescent="0.3"/>
    <row r="216" s="7" customFormat="1" ht="14.25" customHeight="1" x14ac:dyDescent="0.3"/>
    <row r="217" s="7" customFormat="1" ht="14.25" customHeight="1" x14ac:dyDescent="0.3"/>
    <row r="218" s="7" customFormat="1" ht="14.25" customHeight="1" x14ac:dyDescent="0.3"/>
    <row r="219" s="7" customFormat="1" ht="14.25" customHeight="1" x14ac:dyDescent="0.3"/>
    <row r="220" s="7" customFormat="1" ht="14.25" customHeight="1" x14ac:dyDescent="0.3"/>
    <row r="221" s="7" customFormat="1" ht="14.25" customHeight="1" x14ac:dyDescent="0.3"/>
    <row r="222" s="7" customFormat="1" ht="14.25" customHeight="1" x14ac:dyDescent="0.3"/>
    <row r="223" s="7" customFormat="1" ht="14.25" customHeight="1" x14ac:dyDescent="0.3"/>
    <row r="224" s="7" customFormat="1" ht="14.25" customHeight="1" x14ac:dyDescent="0.3"/>
    <row r="225" s="7" customFormat="1" ht="14.25" customHeight="1" x14ac:dyDescent="0.3"/>
    <row r="226" s="7" customFormat="1" ht="14.25" customHeight="1" x14ac:dyDescent="0.3"/>
    <row r="227" s="7" customFormat="1" ht="14.25" customHeight="1" x14ac:dyDescent="0.3"/>
    <row r="228" s="7" customFormat="1" ht="14.25" customHeight="1" x14ac:dyDescent="0.3"/>
    <row r="229" s="7" customFormat="1" ht="14.25" customHeight="1" x14ac:dyDescent="0.3"/>
    <row r="230" s="7" customFormat="1" ht="14.25" customHeight="1" x14ac:dyDescent="0.3"/>
    <row r="231" s="7" customFormat="1" ht="14.25" customHeight="1" x14ac:dyDescent="0.3"/>
    <row r="232" s="7" customFormat="1" ht="14.25" customHeight="1" x14ac:dyDescent="0.3"/>
    <row r="233" s="7" customFormat="1" ht="14.25" customHeight="1" x14ac:dyDescent="0.3"/>
    <row r="234" s="7" customFormat="1" ht="14.25" customHeight="1" x14ac:dyDescent="0.3"/>
    <row r="235" s="7" customFormat="1" ht="14.25" customHeight="1" x14ac:dyDescent="0.3"/>
    <row r="236" s="7" customFormat="1" ht="14.25" customHeight="1" x14ac:dyDescent="0.3"/>
    <row r="237" s="7" customFormat="1" ht="14.25" customHeight="1" x14ac:dyDescent="0.3"/>
    <row r="238" s="7" customFormat="1" ht="14.25" customHeight="1" x14ac:dyDescent="0.3"/>
    <row r="239" s="7" customFormat="1" ht="14.25" customHeight="1" x14ac:dyDescent="0.3"/>
    <row r="240" s="7" customFormat="1" ht="14.25" customHeight="1" x14ac:dyDescent="0.3"/>
    <row r="241" s="7" customFormat="1" ht="14.25" customHeight="1" x14ac:dyDescent="0.3"/>
    <row r="242" s="7" customFormat="1" ht="14.25" customHeight="1" x14ac:dyDescent="0.3"/>
    <row r="243" s="7" customFormat="1" ht="14.25" customHeight="1" x14ac:dyDescent="0.3"/>
    <row r="244" s="7" customFormat="1" ht="14.25" customHeight="1" x14ac:dyDescent="0.3"/>
    <row r="245" s="7" customFormat="1" ht="14.25" customHeight="1" x14ac:dyDescent="0.3"/>
    <row r="246" s="7" customFormat="1" ht="14.25" customHeight="1" x14ac:dyDescent="0.3"/>
    <row r="247" s="7" customFormat="1" ht="14.25" customHeight="1" x14ac:dyDescent="0.3"/>
    <row r="248" s="7" customFormat="1" ht="14.25" customHeight="1" x14ac:dyDescent="0.3"/>
    <row r="249" s="7" customFormat="1" ht="14.25" customHeight="1" x14ac:dyDescent="0.3"/>
    <row r="250" s="7" customFormat="1" ht="14.25" customHeight="1" x14ac:dyDescent="0.3"/>
    <row r="251" s="7" customFormat="1" ht="14.25" customHeight="1" x14ac:dyDescent="0.3"/>
    <row r="252" s="7" customFormat="1" ht="14.25" customHeight="1" x14ac:dyDescent="0.3"/>
    <row r="253" s="7" customFormat="1" ht="14.25" customHeight="1" x14ac:dyDescent="0.3"/>
    <row r="254" s="7" customFormat="1" ht="14.25" customHeight="1" x14ac:dyDescent="0.3"/>
    <row r="255" s="7" customFormat="1" ht="14.25" customHeight="1" x14ac:dyDescent="0.3"/>
    <row r="256" s="7" customFormat="1" ht="14.25" customHeight="1" x14ac:dyDescent="0.3"/>
    <row r="257" s="7" customFormat="1" ht="14.25" customHeight="1" x14ac:dyDescent="0.3"/>
    <row r="258" s="7" customFormat="1" ht="14.25" customHeight="1" x14ac:dyDescent="0.3"/>
    <row r="259" s="7" customFormat="1" ht="14.25" customHeight="1" x14ac:dyDescent="0.3"/>
    <row r="260" s="7" customFormat="1" ht="14.25" customHeight="1" x14ac:dyDescent="0.3"/>
    <row r="261" s="7" customFormat="1" ht="14.25" customHeight="1" x14ac:dyDescent="0.3"/>
    <row r="262" s="7" customFormat="1" ht="14.25" customHeight="1" x14ac:dyDescent="0.3"/>
    <row r="263" s="7" customFormat="1" ht="14.25" customHeight="1" x14ac:dyDescent="0.3"/>
    <row r="264" s="7" customFormat="1" ht="14.25" customHeight="1" x14ac:dyDescent="0.3"/>
    <row r="265" s="7" customFormat="1" ht="14.25" customHeight="1" x14ac:dyDescent="0.3"/>
    <row r="266" s="7" customFormat="1" ht="14.25" customHeight="1" x14ac:dyDescent="0.3"/>
    <row r="267" s="7" customFormat="1" ht="14.25" customHeight="1" x14ac:dyDescent="0.3"/>
    <row r="268" s="7" customFormat="1" ht="14.25" customHeight="1" x14ac:dyDescent="0.3"/>
    <row r="269" s="7" customFormat="1" ht="14.25" customHeight="1" x14ac:dyDescent="0.3"/>
    <row r="270" s="7" customFormat="1" ht="14.25" customHeight="1" x14ac:dyDescent="0.3"/>
    <row r="271" s="7" customFormat="1" ht="14.25" customHeight="1" x14ac:dyDescent="0.3"/>
    <row r="272" s="7" customFormat="1" ht="14.25" customHeight="1" x14ac:dyDescent="0.3"/>
    <row r="273" s="7" customFormat="1" ht="14.25" customHeight="1" x14ac:dyDescent="0.3"/>
    <row r="274" s="7" customFormat="1" ht="14.25" customHeight="1" x14ac:dyDescent="0.3"/>
    <row r="275" s="7" customFormat="1" ht="14.25" customHeight="1" x14ac:dyDescent="0.3"/>
    <row r="276" s="7" customFormat="1" ht="14.25" customHeight="1" x14ac:dyDescent="0.3"/>
    <row r="277" s="7" customFormat="1" ht="14.25" customHeight="1" x14ac:dyDescent="0.3"/>
    <row r="278" s="7" customFormat="1" ht="14.25" customHeight="1" x14ac:dyDescent="0.3"/>
    <row r="279" s="7" customFormat="1" ht="14.25" customHeight="1" x14ac:dyDescent="0.3"/>
    <row r="280" s="7" customFormat="1" ht="14.25" customHeight="1" x14ac:dyDescent="0.3"/>
    <row r="281" s="7" customFormat="1" ht="14.25" customHeight="1" x14ac:dyDescent="0.3"/>
    <row r="282" s="7" customFormat="1" ht="14.25" customHeight="1" x14ac:dyDescent="0.3"/>
    <row r="283" s="7" customFormat="1" ht="14.25" customHeight="1" x14ac:dyDescent="0.3"/>
    <row r="284" s="7" customFormat="1" ht="14.25" customHeight="1" x14ac:dyDescent="0.3"/>
    <row r="285" s="7" customFormat="1" ht="14.25" customHeight="1" x14ac:dyDescent="0.3"/>
    <row r="286" s="7" customFormat="1" ht="14.25" customHeight="1" x14ac:dyDescent="0.3"/>
    <row r="287" s="7" customFormat="1" ht="14.25" customHeight="1" x14ac:dyDescent="0.3"/>
    <row r="288" s="7" customFormat="1" ht="14.25" customHeight="1" x14ac:dyDescent="0.3"/>
    <row r="289" s="7" customFormat="1" ht="14.25" customHeight="1" x14ac:dyDescent="0.3"/>
    <row r="290" s="7" customFormat="1" ht="14.25" customHeight="1" x14ac:dyDescent="0.3"/>
    <row r="291" s="7" customFormat="1" ht="14.25" customHeight="1" x14ac:dyDescent="0.3"/>
    <row r="292" s="7" customFormat="1" ht="14.25" customHeight="1" x14ac:dyDescent="0.3"/>
    <row r="293" s="7" customFormat="1" ht="14.25" customHeight="1" x14ac:dyDescent="0.3"/>
    <row r="294" s="7" customFormat="1" ht="14.25" customHeight="1" x14ac:dyDescent="0.3"/>
    <row r="295" s="7" customFormat="1" ht="14.25" customHeight="1" x14ac:dyDescent="0.3"/>
    <row r="296" s="7" customFormat="1" ht="14.25" customHeight="1" x14ac:dyDescent="0.3"/>
    <row r="297" s="7" customFormat="1" ht="14.25" customHeight="1" x14ac:dyDescent="0.3"/>
    <row r="298" s="7" customFormat="1" ht="14.25" customHeight="1" x14ac:dyDescent="0.3"/>
    <row r="299" s="7" customFormat="1" ht="14.25" customHeight="1" x14ac:dyDescent="0.3"/>
    <row r="300" s="7" customFormat="1" ht="14.25" customHeight="1" x14ac:dyDescent="0.3"/>
    <row r="301" s="7" customFormat="1" ht="14.25" customHeight="1" x14ac:dyDescent="0.3"/>
    <row r="302" s="7" customFormat="1" ht="14.25" customHeight="1" x14ac:dyDescent="0.3"/>
    <row r="303" s="7" customFormat="1" ht="14.25" customHeight="1" x14ac:dyDescent="0.3"/>
    <row r="304" s="7" customFormat="1" ht="14.25" customHeight="1" x14ac:dyDescent="0.3"/>
    <row r="305" s="7" customFormat="1" ht="14.25" customHeight="1" x14ac:dyDescent="0.3"/>
    <row r="306" s="7" customFormat="1" ht="14.25" customHeight="1" x14ac:dyDescent="0.3"/>
    <row r="307" s="7" customFormat="1" ht="14.25" customHeight="1" x14ac:dyDescent="0.3"/>
    <row r="308" s="7" customFormat="1" ht="14.25" customHeight="1" x14ac:dyDescent="0.3"/>
    <row r="309" s="7" customFormat="1" ht="14.25" customHeight="1" x14ac:dyDescent="0.3"/>
    <row r="310" s="7" customFormat="1" ht="14.25" customHeight="1" x14ac:dyDescent="0.3"/>
    <row r="311" s="7" customFormat="1" ht="14.25" customHeight="1" x14ac:dyDescent="0.3"/>
    <row r="312" s="7" customFormat="1" ht="14.25" customHeight="1" x14ac:dyDescent="0.3"/>
    <row r="313" s="7" customFormat="1" ht="14.25" customHeight="1" x14ac:dyDescent="0.3"/>
    <row r="314" s="7" customFormat="1" ht="14.25" customHeight="1" x14ac:dyDescent="0.3"/>
    <row r="315" s="7" customFormat="1" ht="14.25" customHeight="1" x14ac:dyDescent="0.3"/>
    <row r="316" s="7" customFormat="1" ht="14.25" customHeight="1" x14ac:dyDescent="0.3"/>
    <row r="317" s="7" customFormat="1" ht="14.25" customHeight="1" x14ac:dyDescent="0.3"/>
    <row r="318" s="7" customFormat="1" ht="14.25" customHeight="1" x14ac:dyDescent="0.3"/>
    <row r="319" s="7" customFormat="1" ht="14.25" customHeight="1" x14ac:dyDescent="0.3"/>
    <row r="320" s="7" customFormat="1" ht="14.25" customHeight="1" x14ac:dyDescent="0.3"/>
    <row r="321" s="7" customFormat="1" ht="14.25" customHeight="1" x14ac:dyDescent="0.3"/>
    <row r="322" s="7" customFormat="1" ht="14.25" customHeight="1" x14ac:dyDescent="0.3"/>
    <row r="323" s="7" customFormat="1" ht="14.25" customHeight="1" x14ac:dyDescent="0.3"/>
    <row r="324" s="7" customFormat="1" ht="14.25" customHeight="1" x14ac:dyDescent="0.3"/>
    <row r="325" s="7" customFormat="1" ht="14.25" customHeight="1" x14ac:dyDescent="0.3"/>
    <row r="326" s="7" customFormat="1" ht="14.25" customHeight="1" x14ac:dyDescent="0.3"/>
    <row r="327" s="7" customFormat="1" ht="14.25" customHeight="1" x14ac:dyDescent="0.3"/>
    <row r="328" s="7" customFormat="1" ht="14.25" customHeight="1" x14ac:dyDescent="0.3"/>
    <row r="329" s="7" customFormat="1" ht="14.25" customHeight="1" x14ac:dyDescent="0.3"/>
    <row r="330" s="7" customFormat="1" ht="14.25" customHeight="1" x14ac:dyDescent="0.3"/>
    <row r="331" s="7" customFormat="1" ht="14.25" customHeight="1" x14ac:dyDescent="0.3"/>
    <row r="332" s="7" customFormat="1" ht="14.25" customHeight="1" x14ac:dyDescent="0.3"/>
    <row r="333" s="7" customFormat="1" ht="14.25" customHeight="1" x14ac:dyDescent="0.3"/>
    <row r="334" s="7" customFormat="1" ht="14.25" customHeight="1" x14ac:dyDescent="0.3"/>
    <row r="335" s="7" customFormat="1" ht="14.25" customHeight="1" x14ac:dyDescent="0.3"/>
    <row r="336" s="7" customFormat="1" ht="14.25" customHeight="1" x14ac:dyDescent="0.3"/>
    <row r="337" s="7" customFormat="1" ht="14.25" customHeight="1" x14ac:dyDescent="0.3"/>
    <row r="338" s="7" customFormat="1" ht="14.25" customHeight="1" x14ac:dyDescent="0.3"/>
    <row r="339" s="7" customFormat="1" ht="14.25" customHeight="1" x14ac:dyDescent="0.3"/>
    <row r="340" s="7" customFormat="1" ht="14.25" customHeight="1" x14ac:dyDescent="0.3"/>
    <row r="341" s="7" customFormat="1" ht="14.25" customHeight="1" x14ac:dyDescent="0.3"/>
    <row r="342" s="7" customFormat="1" ht="14.25" customHeight="1" x14ac:dyDescent="0.3"/>
    <row r="343" s="7" customFormat="1" ht="14.25" customHeight="1" x14ac:dyDescent="0.3"/>
    <row r="344" s="7" customFormat="1" ht="14.25" customHeight="1" x14ac:dyDescent="0.3"/>
    <row r="345" s="7" customFormat="1" ht="14.25" customHeight="1" x14ac:dyDescent="0.3"/>
    <row r="346" s="7" customFormat="1" ht="14.25" customHeight="1" x14ac:dyDescent="0.3"/>
    <row r="347" s="7" customFormat="1" ht="14.25" customHeight="1" x14ac:dyDescent="0.3"/>
    <row r="348" s="7" customFormat="1" ht="14.25" customHeight="1" x14ac:dyDescent="0.3"/>
    <row r="349" s="7" customFormat="1" ht="14.25" customHeight="1" x14ac:dyDescent="0.3"/>
    <row r="350" s="7" customFormat="1" ht="14.25" customHeight="1" x14ac:dyDescent="0.3"/>
    <row r="351" s="7" customFormat="1" ht="14.25" customHeight="1" x14ac:dyDescent="0.3"/>
    <row r="352" s="7" customFormat="1" ht="14.25" customHeight="1" x14ac:dyDescent="0.3"/>
    <row r="353" s="7" customFormat="1" ht="14.25" customHeight="1" x14ac:dyDescent="0.3"/>
    <row r="354" s="7" customFormat="1" ht="14.25" customHeight="1" x14ac:dyDescent="0.3"/>
    <row r="355" s="7" customFormat="1" ht="14.25" customHeight="1" x14ac:dyDescent="0.3"/>
    <row r="356" s="7" customFormat="1" ht="14.25" customHeight="1" x14ac:dyDescent="0.3"/>
    <row r="357" s="7" customFormat="1" ht="14.25" customHeight="1" x14ac:dyDescent="0.3"/>
    <row r="358" s="7" customFormat="1" ht="14.25" customHeight="1" x14ac:dyDescent="0.3"/>
    <row r="359" s="7" customFormat="1" ht="14.25" customHeight="1" x14ac:dyDescent="0.3"/>
    <row r="360" s="7" customFormat="1" ht="14.25" customHeight="1" x14ac:dyDescent="0.3"/>
    <row r="361" s="7" customFormat="1" ht="14.25" customHeight="1" x14ac:dyDescent="0.3"/>
    <row r="362" s="7" customFormat="1" ht="14.25" customHeight="1" x14ac:dyDescent="0.3"/>
    <row r="363" s="7" customFormat="1" ht="14.25" customHeight="1" x14ac:dyDescent="0.3"/>
    <row r="364" s="7" customFormat="1" ht="14.25" customHeight="1" x14ac:dyDescent="0.3"/>
    <row r="365" s="7" customFormat="1" ht="14.25" customHeight="1" x14ac:dyDescent="0.3"/>
    <row r="366" s="7" customFormat="1" ht="14.25" customHeight="1" x14ac:dyDescent="0.3"/>
    <row r="367" s="7" customFormat="1" ht="14.25" customHeight="1" x14ac:dyDescent="0.3"/>
    <row r="368" s="7" customFormat="1" ht="14.25" customHeight="1" x14ac:dyDescent="0.3"/>
    <row r="369" s="7" customFormat="1" ht="14.25" customHeight="1" x14ac:dyDescent="0.3"/>
    <row r="370" s="7" customFormat="1" ht="14.25" customHeight="1" x14ac:dyDescent="0.3"/>
    <row r="371" s="7" customFormat="1" ht="14.25" customHeight="1" x14ac:dyDescent="0.3"/>
    <row r="372" s="7" customFormat="1" ht="14.25" customHeight="1" x14ac:dyDescent="0.3"/>
    <row r="373" s="7" customFormat="1" ht="14.25" customHeight="1" x14ac:dyDescent="0.3"/>
    <row r="374" s="7" customFormat="1" ht="14.25" customHeight="1" x14ac:dyDescent="0.3"/>
    <row r="375" s="7" customFormat="1" ht="14.25" customHeight="1" x14ac:dyDescent="0.3"/>
    <row r="376" s="7" customFormat="1" ht="14.25" customHeight="1" x14ac:dyDescent="0.3"/>
    <row r="377" s="7" customFormat="1" ht="14.25" customHeight="1" x14ac:dyDescent="0.3"/>
    <row r="378" s="7" customFormat="1" ht="14.25" customHeight="1" x14ac:dyDescent="0.3"/>
    <row r="379" s="7" customFormat="1" ht="14.25" customHeight="1" x14ac:dyDescent="0.3"/>
    <row r="380" s="7" customFormat="1" ht="14.25" customHeight="1" x14ac:dyDescent="0.3"/>
    <row r="381" s="7" customFormat="1" ht="14.25" customHeight="1" x14ac:dyDescent="0.3"/>
    <row r="382" s="7" customFormat="1" ht="14.25" customHeight="1" x14ac:dyDescent="0.3"/>
    <row r="383" s="7" customFormat="1" ht="14.25" customHeight="1" x14ac:dyDescent="0.3"/>
    <row r="384" s="7" customFormat="1" ht="14.25" customHeight="1" x14ac:dyDescent="0.3"/>
    <row r="385" s="7" customFormat="1" ht="14.25" customHeight="1" x14ac:dyDescent="0.3"/>
    <row r="386" s="7" customFormat="1" ht="14.25" customHeight="1" x14ac:dyDescent="0.3"/>
    <row r="387" s="7" customFormat="1" ht="14.25" customHeight="1" x14ac:dyDescent="0.3"/>
    <row r="388" s="7" customFormat="1" ht="14.25" customHeight="1" x14ac:dyDescent="0.3"/>
    <row r="389" s="7" customFormat="1" ht="14.25" customHeight="1" x14ac:dyDescent="0.3"/>
    <row r="390" s="7" customFormat="1" ht="14.25" customHeight="1" x14ac:dyDescent="0.3"/>
    <row r="391" s="7" customFormat="1" ht="14.25" customHeight="1" x14ac:dyDescent="0.3"/>
    <row r="392" s="7" customFormat="1" ht="14.25" customHeight="1" x14ac:dyDescent="0.3"/>
    <row r="393" s="7" customFormat="1" ht="14.25" customHeight="1" x14ac:dyDescent="0.3"/>
    <row r="394" s="7" customFormat="1" ht="14.25" customHeight="1" x14ac:dyDescent="0.3"/>
    <row r="395" s="7" customFormat="1" ht="14.25" customHeight="1" x14ac:dyDescent="0.3"/>
    <row r="396" s="7" customFormat="1" ht="14.25" customHeight="1" x14ac:dyDescent="0.3"/>
    <row r="397" s="7" customFormat="1" ht="14.25" customHeight="1" x14ac:dyDescent="0.3"/>
    <row r="398" s="7" customFormat="1" ht="14.25" customHeight="1" x14ac:dyDescent="0.3"/>
    <row r="399" s="7" customFormat="1" ht="14.25" customHeight="1" x14ac:dyDescent="0.3"/>
    <row r="400" s="7" customFormat="1" ht="14.25" customHeight="1" x14ac:dyDescent="0.3"/>
    <row r="401" s="7" customFormat="1" ht="14.25" customHeight="1" x14ac:dyDescent="0.3"/>
    <row r="402" s="7" customFormat="1" ht="14.25" customHeight="1" x14ac:dyDescent="0.3"/>
    <row r="403" s="7" customFormat="1" ht="14.25" customHeight="1" x14ac:dyDescent="0.3"/>
    <row r="404" s="7" customFormat="1" ht="14.25" customHeight="1" x14ac:dyDescent="0.3"/>
    <row r="405" s="7" customFormat="1" ht="14.25" customHeight="1" x14ac:dyDescent="0.3"/>
    <row r="406" s="7" customFormat="1" ht="14.25" customHeight="1" x14ac:dyDescent="0.3"/>
    <row r="407" s="7" customFormat="1" ht="14.25" customHeight="1" x14ac:dyDescent="0.3"/>
    <row r="408" s="7" customFormat="1" ht="14.25" customHeight="1" x14ac:dyDescent="0.3"/>
    <row r="409" s="7" customFormat="1" ht="14.25" customHeight="1" x14ac:dyDescent="0.3"/>
    <row r="410" s="7" customFormat="1" ht="14.25" customHeight="1" x14ac:dyDescent="0.3"/>
    <row r="411" s="7" customFormat="1" ht="14.25" customHeight="1" x14ac:dyDescent="0.3"/>
    <row r="412" s="7" customFormat="1" ht="14.25" customHeight="1" x14ac:dyDescent="0.3"/>
    <row r="413" s="7" customFormat="1" ht="14.25" customHeight="1" x14ac:dyDescent="0.3"/>
    <row r="414" s="7" customFormat="1" ht="14.25" customHeight="1" x14ac:dyDescent="0.3"/>
    <row r="415" s="7" customFormat="1" ht="14.25" customHeight="1" x14ac:dyDescent="0.3"/>
    <row r="416" s="7" customFormat="1" ht="14.25" customHeight="1" x14ac:dyDescent="0.3"/>
    <row r="417" s="7" customFormat="1" ht="14.25" customHeight="1" x14ac:dyDescent="0.3"/>
    <row r="418" s="7" customFormat="1" ht="14.25" customHeight="1" x14ac:dyDescent="0.3"/>
    <row r="419" s="7" customFormat="1" ht="14.25" customHeight="1" x14ac:dyDescent="0.3"/>
    <row r="420" s="7" customFormat="1" ht="14.25" customHeight="1" x14ac:dyDescent="0.3"/>
    <row r="421" s="7" customFormat="1" ht="14.25" customHeight="1" x14ac:dyDescent="0.3"/>
    <row r="422" s="7" customFormat="1" ht="14.25" customHeight="1" x14ac:dyDescent="0.3"/>
    <row r="423" s="7" customFormat="1" ht="14.25" customHeight="1" x14ac:dyDescent="0.3"/>
    <row r="424" s="7" customFormat="1" ht="14.25" customHeight="1" x14ac:dyDescent="0.3"/>
    <row r="425" s="7" customFormat="1" ht="14.25" customHeight="1" x14ac:dyDescent="0.3"/>
    <row r="426" s="7" customFormat="1" ht="14.25" customHeight="1" x14ac:dyDescent="0.3"/>
    <row r="427" s="7" customFormat="1" ht="14.25" customHeight="1" x14ac:dyDescent="0.3"/>
    <row r="428" s="7" customFormat="1" ht="14.25" customHeight="1" x14ac:dyDescent="0.3"/>
    <row r="429" s="7" customFormat="1" ht="14.25" customHeight="1" x14ac:dyDescent="0.3"/>
    <row r="430" s="7" customFormat="1" ht="14.25" customHeight="1" x14ac:dyDescent="0.3"/>
    <row r="431" s="7" customFormat="1" ht="14.25" customHeight="1" x14ac:dyDescent="0.3"/>
    <row r="432" s="7" customFormat="1" ht="14.25" customHeight="1" x14ac:dyDescent="0.3"/>
    <row r="433" s="7" customFormat="1" ht="14.25" customHeight="1" x14ac:dyDescent="0.3"/>
    <row r="434" s="7" customFormat="1" ht="14.25" customHeight="1" x14ac:dyDescent="0.3"/>
    <row r="435" s="7" customFormat="1" ht="14.25" customHeight="1" x14ac:dyDescent="0.3"/>
    <row r="436" s="7" customFormat="1" ht="14.25" customHeight="1" x14ac:dyDescent="0.3"/>
    <row r="437" s="7" customFormat="1" ht="14.25" customHeight="1" x14ac:dyDescent="0.3"/>
    <row r="438" s="7" customFormat="1" ht="14.25" customHeight="1" x14ac:dyDescent="0.3"/>
    <row r="439" s="7" customFormat="1" ht="14.25" customHeight="1" x14ac:dyDescent="0.3"/>
    <row r="440" s="7" customFormat="1" ht="14.25" customHeight="1" x14ac:dyDescent="0.3"/>
    <row r="441" s="7" customFormat="1" ht="14.25" customHeight="1" x14ac:dyDescent="0.3"/>
    <row r="442" s="7" customFormat="1" ht="14.25" customHeight="1" x14ac:dyDescent="0.3"/>
    <row r="443" s="7" customFormat="1" ht="14.25" customHeight="1" x14ac:dyDescent="0.3"/>
    <row r="444" s="7" customFormat="1" ht="14.25" customHeight="1" x14ac:dyDescent="0.3"/>
    <row r="445" s="7" customFormat="1" ht="14.25" customHeight="1" x14ac:dyDescent="0.3"/>
    <row r="446" s="7" customFormat="1" ht="14.25" customHeight="1" x14ac:dyDescent="0.3"/>
    <row r="447" s="7" customFormat="1" ht="14.25" customHeight="1" x14ac:dyDescent="0.3"/>
    <row r="448" s="7" customFormat="1" ht="14.25" customHeight="1" x14ac:dyDescent="0.3"/>
    <row r="449" s="7" customFormat="1" ht="14.25" customHeight="1" x14ac:dyDescent="0.3"/>
    <row r="450" s="7" customFormat="1" ht="14.25" customHeight="1" x14ac:dyDescent="0.3"/>
    <row r="451" s="7" customFormat="1" ht="14.25" customHeight="1" x14ac:dyDescent="0.3"/>
    <row r="452" s="7" customFormat="1" ht="14.25" customHeight="1" x14ac:dyDescent="0.3"/>
    <row r="453" s="7" customFormat="1" ht="14.25" customHeight="1" x14ac:dyDescent="0.3"/>
    <row r="454" s="7" customFormat="1" ht="14.25" customHeight="1" x14ac:dyDescent="0.3"/>
    <row r="455" s="7" customFormat="1" ht="14.25" customHeight="1" x14ac:dyDescent="0.3"/>
    <row r="456" s="7" customFormat="1" ht="14.25" customHeight="1" x14ac:dyDescent="0.3"/>
    <row r="457" s="7" customFormat="1" ht="14.25" customHeight="1" x14ac:dyDescent="0.3"/>
    <row r="458" s="7" customFormat="1" ht="14.25" customHeight="1" x14ac:dyDescent="0.3"/>
    <row r="459" s="7" customFormat="1" ht="14.25" customHeight="1" x14ac:dyDescent="0.3"/>
    <row r="460" s="7" customFormat="1" ht="14.25" customHeight="1" x14ac:dyDescent="0.3"/>
    <row r="461" s="7" customFormat="1" ht="14.25" customHeight="1" x14ac:dyDescent="0.3"/>
    <row r="462" s="7" customFormat="1" ht="14.25" customHeight="1" x14ac:dyDescent="0.3"/>
    <row r="463" s="7" customFormat="1" ht="14.25" customHeight="1" x14ac:dyDescent="0.3"/>
    <row r="464" s="7" customFormat="1" ht="14.25" customHeight="1" x14ac:dyDescent="0.3"/>
    <row r="465" s="7" customFormat="1" ht="14.25" customHeight="1" x14ac:dyDescent="0.3"/>
    <row r="466" s="7" customFormat="1" ht="14.25" customHeight="1" x14ac:dyDescent="0.3"/>
    <row r="467" s="7" customFormat="1" ht="14.25" customHeight="1" x14ac:dyDescent="0.3"/>
    <row r="468" s="7" customFormat="1" ht="14.25" customHeight="1" x14ac:dyDescent="0.3"/>
    <row r="469" s="7" customFormat="1" ht="14.25" customHeight="1" x14ac:dyDescent="0.3"/>
    <row r="470" s="7" customFormat="1" ht="14.25" customHeight="1" x14ac:dyDescent="0.3"/>
    <row r="471" s="7" customFormat="1" ht="14.25" customHeight="1" x14ac:dyDescent="0.3"/>
    <row r="472" s="7" customFormat="1" ht="14.25" customHeight="1" x14ac:dyDescent="0.3"/>
    <row r="473" s="7" customFormat="1" ht="14.25" customHeight="1" x14ac:dyDescent="0.3"/>
    <row r="474" s="7" customFormat="1" ht="14.25" customHeight="1" x14ac:dyDescent="0.3"/>
    <row r="475" s="7" customFormat="1" ht="14.25" customHeight="1" x14ac:dyDescent="0.3"/>
    <row r="476" s="7" customFormat="1" ht="14.25" customHeight="1" x14ac:dyDescent="0.3"/>
    <row r="477" s="7" customFormat="1" ht="14.25" customHeight="1" x14ac:dyDescent="0.3"/>
    <row r="478" s="7" customFormat="1" ht="14.25" customHeight="1" x14ac:dyDescent="0.3"/>
    <row r="479" s="7" customFormat="1" ht="14.25" customHeight="1" x14ac:dyDescent="0.3"/>
    <row r="480" s="7" customFormat="1" ht="14.25" customHeight="1" x14ac:dyDescent="0.3"/>
    <row r="481" s="7" customFormat="1" ht="14.25" customHeight="1" x14ac:dyDescent="0.3"/>
    <row r="482" s="7" customFormat="1" ht="14.25" customHeight="1" x14ac:dyDescent="0.3"/>
    <row r="483" s="7" customFormat="1" ht="14.25" customHeight="1" x14ac:dyDescent="0.3"/>
    <row r="484" s="7" customFormat="1" ht="14.25" customHeight="1" x14ac:dyDescent="0.3"/>
    <row r="485" s="7" customFormat="1" ht="14.25" customHeight="1" x14ac:dyDescent="0.3"/>
    <row r="486" s="7" customFormat="1" ht="14.25" customHeight="1" x14ac:dyDescent="0.3"/>
    <row r="487" s="7" customFormat="1" ht="14.25" customHeight="1" x14ac:dyDescent="0.3"/>
    <row r="488" s="7" customFormat="1" ht="14.25" customHeight="1" x14ac:dyDescent="0.3"/>
    <row r="489" s="7" customFormat="1" ht="14.25" customHeight="1" x14ac:dyDescent="0.3"/>
    <row r="490" s="7" customFormat="1" ht="14.25" customHeight="1" x14ac:dyDescent="0.3"/>
    <row r="491" s="7" customFormat="1" ht="14.25" customHeight="1" x14ac:dyDescent="0.3"/>
    <row r="492" s="7" customFormat="1" ht="14.25" customHeight="1" x14ac:dyDescent="0.3"/>
    <row r="493" s="7" customFormat="1" ht="14.25" customHeight="1" x14ac:dyDescent="0.3"/>
    <row r="494" s="7" customFormat="1" ht="14.25" customHeight="1" x14ac:dyDescent="0.3"/>
    <row r="495" s="7" customFormat="1" ht="14.25" customHeight="1" x14ac:dyDescent="0.3"/>
    <row r="496" s="7" customFormat="1" ht="14.25" customHeight="1" x14ac:dyDescent="0.3"/>
    <row r="497" s="7" customFormat="1" ht="14.25" customHeight="1" x14ac:dyDescent="0.3"/>
    <row r="498" s="7" customFormat="1" ht="14.25" customHeight="1" x14ac:dyDescent="0.3"/>
    <row r="499" s="7" customFormat="1" ht="14.25" customHeight="1" x14ac:dyDescent="0.3"/>
    <row r="500" s="7" customFormat="1" ht="14.25" customHeight="1" x14ac:dyDescent="0.3"/>
    <row r="501" s="7" customFormat="1" ht="14.25" customHeight="1" x14ac:dyDescent="0.3"/>
    <row r="502" s="7" customFormat="1" ht="14.25" customHeight="1" x14ac:dyDescent="0.3"/>
    <row r="503" s="7" customFormat="1" ht="14.25" customHeight="1" x14ac:dyDescent="0.3"/>
    <row r="504" s="7" customFormat="1" ht="14.25" customHeight="1" x14ac:dyDescent="0.3"/>
    <row r="505" s="7" customFormat="1" ht="14.25" customHeight="1" x14ac:dyDescent="0.3"/>
    <row r="506" s="7" customFormat="1" ht="14.25" customHeight="1" x14ac:dyDescent="0.3"/>
    <row r="507" s="7" customFormat="1" ht="14.25" customHeight="1" x14ac:dyDescent="0.3"/>
    <row r="508" s="7" customFormat="1" ht="14.25" customHeight="1" x14ac:dyDescent="0.3"/>
    <row r="509" s="7" customFormat="1" ht="14.25" customHeight="1" x14ac:dyDescent="0.3"/>
    <row r="510" s="7" customFormat="1" ht="14.25" customHeight="1" x14ac:dyDescent="0.3"/>
    <row r="511" s="7" customFormat="1" ht="14.25" customHeight="1" x14ac:dyDescent="0.3"/>
    <row r="512" s="7" customFormat="1" ht="14.25" customHeight="1" x14ac:dyDescent="0.3"/>
    <row r="513" s="7" customFormat="1" ht="14.25" customHeight="1" x14ac:dyDescent="0.3"/>
    <row r="514" s="7" customFormat="1" ht="14.25" customHeight="1" x14ac:dyDescent="0.3"/>
    <row r="515" s="7" customFormat="1" ht="14.25" customHeight="1" x14ac:dyDescent="0.3"/>
    <row r="516" s="7" customFormat="1" ht="14.25" customHeight="1" x14ac:dyDescent="0.3"/>
    <row r="517" s="7" customFormat="1" ht="14.25" customHeight="1" x14ac:dyDescent="0.3"/>
    <row r="518" s="7" customFormat="1" ht="14.25" customHeight="1" x14ac:dyDescent="0.3"/>
    <row r="519" s="7" customFormat="1" ht="14.25" customHeight="1" x14ac:dyDescent="0.3"/>
    <row r="520" s="7" customFormat="1" ht="14.25" customHeight="1" x14ac:dyDescent="0.3"/>
    <row r="521" s="7" customFormat="1" ht="14.25" customHeight="1" x14ac:dyDescent="0.3"/>
    <row r="522" s="7" customFormat="1" ht="14.25" customHeight="1" x14ac:dyDescent="0.3"/>
    <row r="523" s="7" customFormat="1" ht="14.25" customHeight="1" x14ac:dyDescent="0.3"/>
    <row r="524" s="7" customFormat="1" ht="14.25" customHeight="1" x14ac:dyDescent="0.3"/>
    <row r="525" s="7" customFormat="1" ht="14.25" customHeight="1" x14ac:dyDescent="0.3"/>
    <row r="526" s="7" customFormat="1" ht="14.25" customHeight="1" x14ac:dyDescent="0.3"/>
    <row r="527" s="7" customFormat="1" ht="14.25" customHeight="1" x14ac:dyDescent="0.3"/>
    <row r="528" s="7" customFormat="1" ht="14.25" customHeight="1" x14ac:dyDescent="0.3"/>
    <row r="529" s="7" customFormat="1" ht="14.25" customHeight="1" x14ac:dyDescent="0.3"/>
    <row r="530" s="7" customFormat="1" ht="14.25" customHeight="1" x14ac:dyDescent="0.3"/>
    <row r="531" s="7" customFormat="1" ht="14.25" customHeight="1" x14ac:dyDescent="0.3"/>
    <row r="532" s="7" customFormat="1" ht="14.25" customHeight="1" x14ac:dyDescent="0.3"/>
    <row r="533" s="7" customFormat="1" ht="14.25" customHeight="1" x14ac:dyDescent="0.3"/>
    <row r="534" s="7" customFormat="1" ht="14.25" customHeight="1" x14ac:dyDescent="0.3"/>
    <row r="535" s="7" customFormat="1" ht="14.25" customHeight="1" x14ac:dyDescent="0.3"/>
    <row r="536" s="7" customFormat="1" ht="14.25" customHeight="1" x14ac:dyDescent="0.3"/>
    <row r="537" s="7" customFormat="1" ht="14.25" customHeight="1" x14ac:dyDescent="0.3"/>
    <row r="538" s="7" customFormat="1" ht="14.25" customHeight="1" x14ac:dyDescent="0.3"/>
    <row r="539" s="7" customFormat="1" ht="14.25" customHeight="1" x14ac:dyDescent="0.3"/>
    <row r="540" s="7" customFormat="1" ht="14.25" customHeight="1" x14ac:dyDescent="0.3"/>
    <row r="541" s="7" customFormat="1" ht="14.25" customHeight="1" x14ac:dyDescent="0.3"/>
    <row r="542" s="7" customFormat="1" ht="14.25" customHeight="1" x14ac:dyDescent="0.3"/>
    <row r="543" s="7" customFormat="1" ht="14.25" customHeight="1" x14ac:dyDescent="0.3"/>
    <row r="544" s="7" customFormat="1" ht="14.25" customHeight="1" x14ac:dyDescent="0.3"/>
    <row r="545" s="7" customFormat="1" ht="14.25" customHeight="1" x14ac:dyDescent="0.3"/>
    <row r="546" s="7" customFormat="1" ht="14.25" customHeight="1" x14ac:dyDescent="0.3"/>
    <row r="547" s="7" customFormat="1" ht="14.25" customHeight="1" x14ac:dyDescent="0.3"/>
    <row r="548" s="7" customFormat="1" ht="14.25" customHeight="1" x14ac:dyDescent="0.3"/>
    <row r="549" s="7" customFormat="1" ht="14.25" customHeight="1" x14ac:dyDescent="0.3"/>
    <row r="550" s="7" customFormat="1" ht="14.25" customHeight="1" x14ac:dyDescent="0.3"/>
    <row r="551" s="7" customFormat="1" ht="14.25" customHeight="1" x14ac:dyDescent="0.3"/>
    <row r="552" s="7" customFormat="1" ht="14.25" customHeight="1" x14ac:dyDescent="0.3"/>
    <row r="553" s="7" customFormat="1" ht="14.25" customHeight="1" x14ac:dyDescent="0.3"/>
    <row r="554" s="7" customFormat="1" ht="14.25" customHeight="1" x14ac:dyDescent="0.3"/>
    <row r="555" s="7" customFormat="1" ht="14.25" customHeight="1" x14ac:dyDescent="0.3"/>
    <row r="556" s="7" customFormat="1" ht="14.25" customHeight="1" x14ac:dyDescent="0.3"/>
    <row r="557" s="7" customFormat="1" ht="14.25" customHeight="1" x14ac:dyDescent="0.3"/>
    <row r="558" s="7" customFormat="1" ht="14.25" customHeight="1" x14ac:dyDescent="0.3"/>
    <row r="559" s="7" customFormat="1" ht="14.25" customHeight="1" x14ac:dyDescent="0.3"/>
    <row r="560" s="7" customFormat="1" ht="14.25" customHeight="1" x14ac:dyDescent="0.3"/>
    <row r="561" s="7" customFormat="1" ht="14.25" customHeight="1" x14ac:dyDescent="0.3"/>
    <row r="562" s="7" customFormat="1" ht="14.25" customHeight="1" x14ac:dyDescent="0.3"/>
    <row r="563" s="7" customFormat="1" ht="14.25" customHeight="1" x14ac:dyDescent="0.3"/>
    <row r="564" s="7" customFormat="1" ht="14.25" customHeight="1" x14ac:dyDescent="0.3"/>
    <row r="565" s="7" customFormat="1" ht="14.25" customHeight="1" x14ac:dyDescent="0.3"/>
    <row r="566" s="7" customFormat="1" ht="14.25" customHeight="1" x14ac:dyDescent="0.3"/>
    <row r="567" s="7" customFormat="1" ht="14.25" customHeight="1" x14ac:dyDescent="0.3"/>
    <row r="568" s="7" customFormat="1" ht="14.25" customHeight="1" x14ac:dyDescent="0.3"/>
    <row r="569" s="7" customFormat="1" ht="14.25" customHeight="1" x14ac:dyDescent="0.3"/>
    <row r="570" s="7" customFormat="1" ht="14.25" customHeight="1" x14ac:dyDescent="0.3"/>
    <row r="571" s="7" customFormat="1" ht="14.25" customHeight="1" x14ac:dyDescent="0.3"/>
    <row r="572" s="7" customFormat="1" ht="14.25" customHeight="1" x14ac:dyDescent="0.3"/>
    <row r="573" s="7" customFormat="1" ht="14.25" customHeight="1" x14ac:dyDescent="0.3"/>
    <row r="574" s="7" customFormat="1" ht="14.25" customHeight="1" x14ac:dyDescent="0.3"/>
    <row r="575" s="7" customFormat="1" ht="14.25" customHeight="1" x14ac:dyDescent="0.3"/>
    <row r="576" s="7" customFormat="1" ht="14.25" customHeight="1" x14ac:dyDescent="0.3"/>
    <row r="577" s="7" customFormat="1" ht="14.25" customHeight="1" x14ac:dyDescent="0.3"/>
    <row r="578" s="7" customFormat="1" ht="14.25" customHeight="1" x14ac:dyDescent="0.3"/>
    <row r="579" s="7" customFormat="1" ht="14.25" customHeight="1" x14ac:dyDescent="0.3"/>
    <row r="580" s="7" customFormat="1" ht="14.25" customHeight="1" x14ac:dyDescent="0.3"/>
    <row r="581" s="7" customFormat="1" ht="14.25" customHeight="1" x14ac:dyDescent="0.3"/>
    <row r="582" s="7" customFormat="1" ht="14.25" customHeight="1" x14ac:dyDescent="0.3"/>
    <row r="583" s="7" customFormat="1" ht="14.25" customHeight="1" x14ac:dyDescent="0.3"/>
    <row r="584" s="7" customFormat="1" ht="14.25" customHeight="1" x14ac:dyDescent="0.3"/>
    <row r="585" s="7" customFormat="1" ht="14.25" customHeight="1" x14ac:dyDescent="0.3"/>
    <row r="586" s="7" customFormat="1" ht="14.25" customHeight="1" x14ac:dyDescent="0.3"/>
    <row r="587" s="7" customFormat="1" ht="14.25" customHeight="1" x14ac:dyDescent="0.3"/>
    <row r="588" s="7" customFormat="1" ht="14.25" customHeight="1" x14ac:dyDescent="0.3"/>
    <row r="589" s="7" customFormat="1" ht="14.25" customHeight="1" x14ac:dyDescent="0.3"/>
    <row r="590" s="7" customFormat="1" ht="14.25" customHeight="1" x14ac:dyDescent="0.3"/>
    <row r="591" s="7" customFormat="1" ht="14.25" customHeight="1" x14ac:dyDescent="0.3"/>
    <row r="592" s="7" customFormat="1" ht="14.25" customHeight="1" x14ac:dyDescent="0.3"/>
    <row r="593" s="7" customFormat="1" ht="14.25" customHeight="1" x14ac:dyDescent="0.3"/>
    <row r="594" s="7" customFormat="1" ht="14.25" customHeight="1" x14ac:dyDescent="0.3"/>
    <row r="595" s="7" customFormat="1" ht="14.25" customHeight="1" x14ac:dyDescent="0.3"/>
    <row r="596" s="7" customFormat="1" ht="14.25" customHeight="1" x14ac:dyDescent="0.3"/>
    <row r="597" s="7" customFormat="1" ht="14.25" customHeight="1" x14ac:dyDescent="0.3"/>
    <row r="598" s="7" customFormat="1" ht="14.25" customHeight="1" x14ac:dyDescent="0.3"/>
    <row r="599" s="7" customFormat="1" ht="14.25" customHeight="1" x14ac:dyDescent="0.3"/>
    <row r="600" s="7" customFormat="1" ht="14.25" customHeight="1" x14ac:dyDescent="0.3"/>
    <row r="601" s="7" customFormat="1" ht="14.25" customHeight="1" x14ac:dyDescent="0.3"/>
    <row r="602" s="7" customFormat="1" ht="14.25" customHeight="1" x14ac:dyDescent="0.3"/>
    <row r="603" s="7" customFormat="1" ht="14.25" customHeight="1" x14ac:dyDescent="0.3"/>
    <row r="604" s="7" customFormat="1" ht="14.25" customHeight="1" x14ac:dyDescent="0.3"/>
    <row r="605" s="7" customFormat="1" ht="14.25" customHeight="1" x14ac:dyDescent="0.3"/>
    <row r="606" s="7" customFormat="1" ht="14.25" customHeight="1" x14ac:dyDescent="0.3"/>
    <row r="607" s="7" customFormat="1" ht="14.25" customHeight="1" x14ac:dyDescent="0.3"/>
    <row r="608" s="7" customFormat="1" ht="14.25" customHeight="1" x14ac:dyDescent="0.3"/>
    <row r="609" s="7" customFormat="1" ht="14.25" customHeight="1" x14ac:dyDescent="0.3"/>
    <row r="610" s="7" customFormat="1" ht="14.25" customHeight="1" x14ac:dyDescent="0.3"/>
    <row r="611" s="7" customFormat="1" ht="14.25" customHeight="1" x14ac:dyDescent="0.3"/>
    <row r="612" s="7" customFormat="1" ht="14.25" customHeight="1" x14ac:dyDescent="0.3"/>
    <row r="613" s="7" customFormat="1" ht="14.25" customHeight="1" x14ac:dyDescent="0.3"/>
    <row r="614" s="7" customFormat="1" ht="14.25" customHeight="1" x14ac:dyDescent="0.3"/>
    <row r="615" s="7" customFormat="1" ht="14.25" customHeight="1" x14ac:dyDescent="0.3"/>
    <row r="616" s="7" customFormat="1" ht="14.25" customHeight="1" x14ac:dyDescent="0.3"/>
    <row r="617" s="7" customFormat="1" ht="14.25" customHeight="1" x14ac:dyDescent="0.3"/>
    <row r="618" s="7" customFormat="1" ht="14.25" customHeight="1" x14ac:dyDescent="0.3"/>
    <row r="619" s="7" customFormat="1" ht="14.25" customHeight="1" x14ac:dyDescent="0.3"/>
    <row r="620" s="7" customFormat="1" ht="14.25" customHeight="1" x14ac:dyDescent="0.3"/>
    <row r="621" s="7" customFormat="1" ht="14.25" customHeight="1" x14ac:dyDescent="0.3"/>
    <row r="622" s="7" customFormat="1" ht="14.25" customHeight="1" x14ac:dyDescent="0.3"/>
    <row r="623" s="7" customFormat="1" ht="14.25" customHeight="1" x14ac:dyDescent="0.3"/>
    <row r="624" s="7" customFormat="1" ht="14.25" customHeight="1" x14ac:dyDescent="0.3"/>
    <row r="625" s="7" customFormat="1" ht="14.25" customHeight="1" x14ac:dyDescent="0.3"/>
    <row r="626" s="7" customFormat="1" ht="14.25" customHeight="1" x14ac:dyDescent="0.3"/>
    <row r="627" s="7" customFormat="1" ht="14.25" customHeight="1" x14ac:dyDescent="0.3"/>
    <row r="628" s="7" customFormat="1" ht="14.25" customHeight="1" x14ac:dyDescent="0.3"/>
    <row r="629" s="7" customFormat="1" ht="14.25" customHeight="1" x14ac:dyDescent="0.3"/>
    <row r="630" s="7" customFormat="1" ht="14.25" customHeight="1" x14ac:dyDescent="0.3"/>
    <row r="631" s="7" customFormat="1" ht="14.25" customHeight="1" x14ac:dyDescent="0.3"/>
    <row r="632" s="7" customFormat="1" ht="14.25" customHeight="1" x14ac:dyDescent="0.3"/>
    <row r="633" s="7" customFormat="1" ht="14.25" customHeight="1" x14ac:dyDescent="0.3"/>
    <row r="634" s="7" customFormat="1" ht="14.25" customHeight="1" x14ac:dyDescent="0.3"/>
    <row r="635" s="7" customFormat="1" ht="14.25" customHeight="1" x14ac:dyDescent="0.3"/>
    <row r="636" s="7" customFormat="1" ht="14.25" customHeight="1" x14ac:dyDescent="0.3"/>
    <row r="637" s="7" customFormat="1" ht="14.25" customHeight="1" x14ac:dyDescent="0.3"/>
    <row r="638" s="7" customFormat="1" ht="14.25" customHeight="1" x14ac:dyDescent="0.3"/>
    <row r="639" s="7" customFormat="1" ht="14.25" customHeight="1" x14ac:dyDescent="0.3"/>
    <row r="640" s="7" customFormat="1" ht="14.25" customHeight="1" x14ac:dyDescent="0.3"/>
    <row r="641" s="7" customFormat="1" ht="14.25" customHeight="1" x14ac:dyDescent="0.3"/>
    <row r="642" s="7" customFormat="1" ht="14.25" customHeight="1" x14ac:dyDescent="0.3"/>
    <row r="643" s="7" customFormat="1" ht="14.25" customHeight="1" x14ac:dyDescent="0.3"/>
    <row r="644" s="7" customFormat="1" ht="14.25" customHeight="1" x14ac:dyDescent="0.3"/>
    <row r="645" s="7" customFormat="1" ht="14.25" customHeight="1" x14ac:dyDescent="0.3"/>
    <row r="646" s="7" customFormat="1" ht="14.25" customHeight="1" x14ac:dyDescent="0.3"/>
    <row r="647" s="7" customFormat="1" ht="14.25" customHeight="1" x14ac:dyDescent="0.3"/>
    <row r="648" s="7" customFormat="1" ht="14.25" customHeight="1" x14ac:dyDescent="0.3"/>
    <row r="649" s="7" customFormat="1" ht="14.25" customHeight="1" x14ac:dyDescent="0.3"/>
    <row r="650" s="7" customFormat="1" ht="14.25" customHeight="1" x14ac:dyDescent="0.3"/>
    <row r="651" s="7" customFormat="1" ht="14.25" customHeight="1" x14ac:dyDescent="0.3"/>
    <row r="652" s="7" customFormat="1" ht="14.25" customHeight="1" x14ac:dyDescent="0.3"/>
    <row r="653" s="7" customFormat="1" ht="14.25" customHeight="1" x14ac:dyDescent="0.3"/>
    <row r="654" s="7" customFormat="1" ht="14.25" customHeight="1" x14ac:dyDescent="0.3"/>
    <row r="655" s="7" customFormat="1" ht="14.25" customHeight="1" x14ac:dyDescent="0.3"/>
    <row r="656" s="7" customFormat="1" ht="14.25" customHeight="1" x14ac:dyDescent="0.3"/>
    <row r="657" s="7" customFormat="1" ht="14.25" customHeight="1" x14ac:dyDescent="0.3"/>
    <row r="658" s="7" customFormat="1" ht="14.25" customHeight="1" x14ac:dyDescent="0.3"/>
    <row r="659" s="7" customFormat="1" ht="14.25" customHeight="1" x14ac:dyDescent="0.3"/>
    <row r="660" s="7" customFormat="1" ht="14.25" customHeight="1" x14ac:dyDescent="0.3"/>
    <row r="661" s="7" customFormat="1" ht="14.25" customHeight="1" x14ac:dyDescent="0.3"/>
    <row r="662" s="7" customFormat="1" ht="14.25" customHeight="1" x14ac:dyDescent="0.3"/>
    <row r="663" s="7" customFormat="1" ht="14.25" customHeight="1" x14ac:dyDescent="0.3"/>
    <row r="664" s="7" customFormat="1" ht="14.25" customHeight="1" x14ac:dyDescent="0.3"/>
    <row r="665" s="7" customFormat="1" ht="14.25" customHeight="1" x14ac:dyDescent="0.3"/>
    <row r="666" s="7" customFormat="1" ht="14.25" customHeight="1" x14ac:dyDescent="0.3"/>
    <row r="667" s="7" customFormat="1" ht="14.25" customHeight="1" x14ac:dyDescent="0.3"/>
    <row r="668" s="7" customFormat="1" ht="14.25" customHeight="1" x14ac:dyDescent="0.3"/>
    <row r="669" s="7" customFormat="1" ht="14.25" customHeight="1" x14ac:dyDescent="0.3"/>
    <row r="670" s="7" customFormat="1" ht="14.25" customHeight="1" x14ac:dyDescent="0.3"/>
    <row r="671" s="7" customFormat="1" ht="14.25" customHeight="1" x14ac:dyDescent="0.3"/>
    <row r="672" s="7" customFormat="1" ht="14.25" customHeight="1" x14ac:dyDescent="0.3"/>
    <row r="673" s="7" customFormat="1" ht="14.25" customHeight="1" x14ac:dyDescent="0.3"/>
    <row r="674" s="7" customFormat="1" ht="14.25" customHeight="1" x14ac:dyDescent="0.3"/>
    <row r="675" s="7" customFormat="1" ht="14.25" customHeight="1" x14ac:dyDescent="0.3"/>
    <row r="676" s="7" customFormat="1" ht="14.25" customHeight="1" x14ac:dyDescent="0.3"/>
    <row r="677" s="7" customFormat="1" ht="14.25" customHeight="1" x14ac:dyDescent="0.3"/>
    <row r="678" s="7" customFormat="1" ht="14.25" customHeight="1" x14ac:dyDescent="0.3"/>
    <row r="679" s="7" customFormat="1" ht="14.25" customHeight="1" x14ac:dyDescent="0.3"/>
    <row r="680" s="7" customFormat="1" ht="14.25" customHeight="1" x14ac:dyDescent="0.3"/>
    <row r="681" s="7" customFormat="1" ht="14.25" customHeight="1" x14ac:dyDescent="0.3"/>
    <row r="682" s="7" customFormat="1" ht="14.25" customHeight="1" x14ac:dyDescent="0.3"/>
    <row r="683" s="7" customFormat="1" ht="14.25" customHeight="1" x14ac:dyDescent="0.3"/>
    <row r="684" s="7" customFormat="1" ht="14.25" customHeight="1" x14ac:dyDescent="0.3"/>
    <row r="685" s="7" customFormat="1" ht="14.25" customHeight="1" x14ac:dyDescent="0.3"/>
    <row r="686" s="7" customFormat="1" ht="14.25" customHeight="1" x14ac:dyDescent="0.3"/>
    <row r="687" s="7" customFormat="1" ht="14.25" customHeight="1" x14ac:dyDescent="0.3"/>
    <row r="688" s="7" customFormat="1" ht="14.25" customHeight="1" x14ac:dyDescent="0.3"/>
    <row r="689" s="7" customFormat="1" ht="14.25" customHeight="1" x14ac:dyDescent="0.3"/>
    <row r="690" s="7" customFormat="1" ht="14.25" customHeight="1" x14ac:dyDescent="0.3"/>
    <row r="691" s="7" customFormat="1" ht="14.25" customHeight="1" x14ac:dyDescent="0.3"/>
    <row r="692" s="7" customFormat="1" ht="14.25" customHeight="1" x14ac:dyDescent="0.3"/>
    <row r="693" s="7" customFormat="1" ht="14.25" customHeight="1" x14ac:dyDescent="0.3"/>
    <row r="694" s="7" customFormat="1" ht="14.25" customHeight="1" x14ac:dyDescent="0.3"/>
    <row r="695" s="7" customFormat="1" ht="14.25" customHeight="1" x14ac:dyDescent="0.3"/>
    <row r="696" s="7" customFormat="1" ht="14.25" customHeight="1" x14ac:dyDescent="0.3"/>
    <row r="697" s="7" customFormat="1" ht="14.25" customHeight="1" x14ac:dyDescent="0.3"/>
    <row r="698" s="7" customFormat="1" ht="14.25" customHeight="1" x14ac:dyDescent="0.3"/>
    <row r="699" s="7" customFormat="1" ht="14.25" customHeight="1" x14ac:dyDescent="0.3"/>
    <row r="700" s="7" customFormat="1" ht="14.25" customHeight="1" x14ac:dyDescent="0.3"/>
    <row r="701" s="7" customFormat="1" ht="14.25" customHeight="1" x14ac:dyDescent="0.3"/>
    <row r="702" s="7" customFormat="1" ht="14.25" customHeight="1" x14ac:dyDescent="0.3"/>
    <row r="703" s="7" customFormat="1" ht="14.25" customHeight="1" x14ac:dyDescent="0.3"/>
    <row r="704" s="7" customFormat="1" ht="14.25" customHeight="1" x14ac:dyDescent="0.3"/>
    <row r="705" s="7" customFormat="1" ht="14.25" customHeight="1" x14ac:dyDescent="0.3"/>
    <row r="706" s="7" customFormat="1" ht="14.25" customHeight="1" x14ac:dyDescent="0.3"/>
    <row r="707" s="7" customFormat="1" ht="14.25" customHeight="1" x14ac:dyDescent="0.3"/>
    <row r="708" s="7" customFormat="1" ht="14.25" customHeight="1" x14ac:dyDescent="0.3"/>
    <row r="709" s="7" customFormat="1" ht="14.25" customHeight="1" x14ac:dyDescent="0.3"/>
    <row r="710" s="7" customFormat="1" ht="14.25" customHeight="1" x14ac:dyDescent="0.3"/>
    <row r="711" s="7" customFormat="1" ht="14.25" customHeight="1" x14ac:dyDescent="0.3"/>
    <row r="712" s="7" customFormat="1" ht="14.25" customHeight="1" x14ac:dyDescent="0.3"/>
    <row r="713" s="7" customFormat="1" ht="14.25" customHeight="1" x14ac:dyDescent="0.3"/>
    <row r="714" s="7" customFormat="1" ht="14.25" customHeight="1" x14ac:dyDescent="0.3"/>
    <row r="715" s="7" customFormat="1" ht="14.25" customHeight="1" x14ac:dyDescent="0.3"/>
    <row r="716" s="7" customFormat="1" ht="14.25" customHeight="1" x14ac:dyDescent="0.3"/>
    <row r="717" s="7" customFormat="1" ht="14.25" customHeight="1" x14ac:dyDescent="0.3"/>
    <row r="718" s="7" customFormat="1" ht="14.25" customHeight="1" x14ac:dyDescent="0.3"/>
    <row r="719" s="7" customFormat="1" ht="14.25" customHeight="1" x14ac:dyDescent="0.3"/>
    <row r="720" s="7" customFormat="1" ht="14.25" customHeight="1" x14ac:dyDescent="0.3"/>
    <row r="721" s="7" customFormat="1" ht="14.25" customHeight="1" x14ac:dyDescent="0.3"/>
    <row r="722" s="7" customFormat="1" ht="14.25" customHeight="1" x14ac:dyDescent="0.3"/>
    <row r="723" s="7" customFormat="1" ht="14.25" customHeight="1" x14ac:dyDescent="0.3"/>
    <row r="724" s="7" customFormat="1" ht="14.25" customHeight="1" x14ac:dyDescent="0.3"/>
    <row r="725" s="7" customFormat="1" ht="14.25" customHeight="1" x14ac:dyDescent="0.3"/>
    <row r="726" s="7" customFormat="1" ht="14.25" customHeight="1" x14ac:dyDescent="0.3"/>
    <row r="727" s="7" customFormat="1" ht="14.25" customHeight="1" x14ac:dyDescent="0.3"/>
    <row r="728" s="7" customFormat="1" ht="14.25" customHeight="1" x14ac:dyDescent="0.3"/>
    <row r="729" s="7" customFormat="1" ht="14.25" customHeight="1" x14ac:dyDescent="0.3"/>
    <row r="730" s="7" customFormat="1" ht="14.25" customHeight="1" x14ac:dyDescent="0.3"/>
    <row r="731" s="7" customFormat="1" ht="14.25" customHeight="1" x14ac:dyDescent="0.3"/>
    <row r="732" s="7" customFormat="1" ht="14.25" customHeight="1" x14ac:dyDescent="0.3"/>
    <row r="733" s="7" customFormat="1" ht="14.25" customHeight="1" x14ac:dyDescent="0.3"/>
    <row r="734" s="7" customFormat="1" ht="14.25" customHeight="1" x14ac:dyDescent="0.3"/>
    <row r="735" s="7" customFormat="1" ht="14.25" customHeight="1" x14ac:dyDescent="0.3"/>
    <row r="736" s="7" customFormat="1" ht="14.25" customHeight="1" x14ac:dyDescent="0.3"/>
    <row r="737" s="7" customFormat="1" ht="14.25" customHeight="1" x14ac:dyDescent="0.3"/>
    <row r="738" s="7" customFormat="1" ht="14.25" customHeight="1" x14ac:dyDescent="0.3"/>
    <row r="739" s="7" customFormat="1" ht="14.25" customHeight="1" x14ac:dyDescent="0.3"/>
    <row r="740" s="7" customFormat="1" ht="14.25" customHeight="1" x14ac:dyDescent="0.3"/>
    <row r="741" s="7" customFormat="1" ht="14.25" customHeight="1" x14ac:dyDescent="0.3"/>
    <row r="742" s="7" customFormat="1" ht="14.25" customHeight="1" x14ac:dyDescent="0.3"/>
    <row r="743" s="7" customFormat="1" ht="14.25" customHeight="1" x14ac:dyDescent="0.3"/>
    <row r="744" s="7" customFormat="1" ht="14.25" customHeight="1" x14ac:dyDescent="0.3"/>
    <row r="745" s="7" customFormat="1" ht="14.25" customHeight="1" x14ac:dyDescent="0.3"/>
    <row r="746" s="7" customFormat="1" ht="14.25" customHeight="1" x14ac:dyDescent="0.3"/>
    <row r="747" s="7" customFormat="1" ht="14.25" customHeight="1" x14ac:dyDescent="0.3"/>
    <row r="748" s="7" customFormat="1" ht="14.25" customHeight="1" x14ac:dyDescent="0.3"/>
    <row r="749" s="7" customFormat="1" ht="14.25" customHeight="1" x14ac:dyDescent="0.3"/>
    <row r="750" s="7" customFormat="1" ht="14.25" customHeight="1" x14ac:dyDescent="0.3"/>
    <row r="751" s="7" customFormat="1" ht="14.25" customHeight="1" x14ac:dyDescent="0.3"/>
    <row r="752" s="7" customFormat="1" ht="14.25" customHeight="1" x14ac:dyDescent="0.3"/>
    <row r="753" s="7" customFormat="1" ht="14.25" customHeight="1" x14ac:dyDescent="0.3"/>
    <row r="754" s="7" customFormat="1" ht="14.25" customHeight="1" x14ac:dyDescent="0.3"/>
    <row r="755" s="7" customFormat="1" ht="14.25" customHeight="1" x14ac:dyDescent="0.3"/>
    <row r="756" s="7" customFormat="1" ht="14.25" customHeight="1" x14ac:dyDescent="0.3"/>
    <row r="757" s="7" customFormat="1" ht="14.25" customHeight="1" x14ac:dyDescent="0.3"/>
    <row r="758" s="7" customFormat="1" ht="14.25" customHeight="1" x14ac:dyDescent="0.3"/>
    <row r="759" s="7" customFormat="1" ht="14.25" customHeight="1" x14ac:dyDescent="0.3"/>
    <row r="760" s="7" customFormat="1" ht="14.25" customHeight="1" x14ac:dyDescent="0.3"/>
    <row r="761" s="7" customFormat="1" ht="14.25" customHeight="1" x14ac:dyDescent="0.3"/>
    <row r="762" s="7" customFormat="1" ht="14.25" customHeight="1" x14ac:dyDescent="0.3"/>
    <row r="763" s="7" customFormat="1" ht="14.25" customHeight="1" x14ac:dyDescent="0.3"/>
    <row r="764" s="7" customFormat="1" ht="14.25" customHeight="1" x14ac:dyDescent="0.3"/>
    <row r="765" s="7" customFormat="1" ht="14.25" customHeight="1" x14ac:dyDescent="0.3"/>
    <row r="766" s="7" customFormat="1" ht="14.25" customHeight="1" x14ac:dyDescent="0.3"/>
    <row r="767" s="7" customFormat="1" ht="14.25" customHeight="1" x14ac:dyDescent="0.3"/>
    <row r="768" s="7" customFormat="1" ht="14.25" customHeight="1" x14ac:dyDescent="0.3"/>
    <row r="769" s="7" customFormat="1" ht="14.25" customHeight="1" x14ac:dyDescent="0.3"/>
    <row r="770" s="7" customFormat="1" ht="14.25" customHeight="1" x14ac:dyDescent="0.3"/>
    <row r="771" s="7" customFormat="1" ht="14.25" customHeight="1" x14ac:dyDescent="0.3"/>
    <row r="772" s="7" customFormat="1" ht="14.25" customHeight="1" x14ac:dyDescent="0.3"/>
    <row r="773" s="7" customFormat="1" ht="14.25" customHeight="1" x14ac:dyDescent="0.3"/>
    <row r="774" s="7" customFormat="1" ht="14.25" customHeight="1" x14ac:dyDescent="0.3"/>
    <row r="775" s="7" customFormat="1" ht="14.25" customHeight="1" x14ac:dyDescent="0.3"/>
    <row r="776" s="7" customFormat="1" ht="14.25" customHeight="1" x14ac:dyDescent="0.3"/>
    <row r="777" s="7" customFormat="1" ht="14.25" customHeight="1" x14ac:dyDescent="0.3"/>
    <row r="778" s="7" customFormat="1" ht="14.25" customHeight="1" x14ac:dyDescent="0.3"/>
    <row r="779" s="7" customFormat="1" ht="14.25" customHeight="1" x14ac:dyDescent="0.3"/>
    <row r="780" s="7" customFormat="1" ht="14.25" customHeight="1" x14ac:dyDescent="0.3"/>
    <row r="781" s="7" customFormat="1" ht="14.25" customHeight="1" x14ac:dyDescent="0.3"/>
    <row r="782" s="7" customFormat="1" ht="14.25" customHeight="1" x14ac:dyDescent="0.3"/>
    <row r="783" s="7" customFormat="1" ht="14.25" customHeight="1" x14ac:dyDescent="0.3"/>
    <row r="784" s="7" customFormat="1" ht="14.25" customHeight="1" x14ac:dyDescent="0.3"/>
    <row r="785" s="7" customFormat="1" ht="14.25" customHeight="1" x14ac:dyDescent="0.3"/>
    <row r="786" s="7" customFormat="1" ht="14.25" customHeight="1" x14ac:dyDescent="0.3"/>
    <row r="787" s="7" customFormat="1" ht="14.25" customHeight="1" x14ac:dyDescent="0.3"/>
    <row r="788" s="7" customFormat="1" ht="14.25" customHeight="1" x14ac:dyDescent="0.3"/>
    <row r="789" s="7" customFormat="1" ht="14.25" customHeight="1" x14ac:dyDescent="0.3"/>
    <row r="790" s="7" customFormat="1" ht="14.25" customHeight="1" x14ac:dyDescent="0.3"/>
    <row r="791" s="7" customFormat="1" ht="14.25" customHeight="1" x14ac:dyDescent="0.3"/>
    <row r="792" s="7" customFormat="1" ht="14.25" customHeight="1" x14ac:dyDescent="0.3"/>
    <row r="793" s="7" customFormat="1" ht="14.25" customHeight="1" x14ac:dyDescent="0.3"/>
    <row r="794" s="7" customFormat="1" ht="14.25" customHeight="1" x14ac:dyDescent="0.3"/>
    <row r="795" s="7" customFormat="1" ht="14.25" customHeight="1" x14ac:dyDescent="0.3"/>
    <row r="796" s="7" customFormat="1" ht="14.25" customHeight="1" x14ac:dyDescent="0.3"/>
    <row r="797" s="7" customFormat="1" ht="14.25" customHeight="1" x14ac:dyDescent="0.3"/>
    <row r="798" s="7" customFormat="1" ht="14.25" customHeight="1" x14ac:dyDescent="0.3"/>
    <row r="799" s="7" customFormat="1" ht="14.25" customHeight="1" x14ac:dyDescent="0.3"/>
    <row r="800" s="7" customFormat="1" ht="14.25" customHeight="1" x14ac:dyDescent="0.3"/>
    <row r="801" s="7" customFormat="1" ht="14.25" customHeight="1" x14ac:dyDescent="0.3"/>
    <row r="802" s="7" customFormat="1" ht="14.25" customHeight="1" x14ac:dyDescent="0.3"/>
    <row r="803" s="7" customFormat="1" ht="14.25" customHeight="1" x14ac:dyDescent="0.3"/>
    <row r="804" s="7" customFormat="1" ht="14.25" customHeight="1" x14ac:dyDescent="0.3"/>
    <row r="805" s="7" customFormat="1" ht="14.25" customHeight="1" x14ac:dyDescent="0.3"/>
    <row r="806" s="7" customFormat="1" ht="14.25" customHeight="1" x14ac:dyDescent="0.3"/>
    <row r="807" s="7" customFormat="1" ht="14.25" customHeight="1" x14ac:dyDescent="0.3"/>
    <row r="808" s="7" customFormat="1" ht="14.25" customHeight="1" x14ac:dyDescent="0.3"/>
    <row r="809" s="7" customFormat="1" ht="14.25" customHeight="1" x14ac:dyDescent="0.3"/>
    <row r="810" s="7" customFormat="1" ht="14.25" customHeight="1" x14ac:dyDescent="0.3"/>
    <row r="811" s="7" customFormat="1" ht="14.25" customHeight="1" x14ac:dyDescent="0.3"/>
    <row r="812" s="7" customFormat="1" ht="14.25" customHeight="1" x14ac:dyDescent="0.3"/>
    <row r="813" s="7" customFormat="1" ht="14.25" customHeight="1" x14ac:dyDescent="0.3"/>
    <row r="814" s="7" customFormat="1" ht="14.25" customHeight="1" x14ac:dyDescent="0.3"/>
    <row r="815" s="7" customFormat="1" ht="14.25" customHeight="1" x14ac:dyDescent="0.3"/>
    <row r="816" s="7" customFormat="1" ht="14.25" customHeight="1" x14ac:dyDescent="0.3"/>
    <row r="817" s="7" customFormat="1" ht="14.25" customHeight="1" x14ac:dyDescent="0.3"/>
    <row r="818" s="7" customFormat="1" ht="14.25" customHeight="1" x14ac:dyDescent="0.3"/>
    <row r="819" s="7" customFormat="1" ht="14.25" customHeight="1" x14ac:dyDescent="0.3"/>
    <row r="820" s="7" customFormat="1" ht="14.25" customHeight="1" x14ac:dyDescent="0.3"/>
    <row r="821" s="7" customFormat="1" ht="14.25" customHeight="1" x14ac:dyDescent="0.3"/>
    <row r="822" s="7" customFormat="1" ht="14.25" customHeight="1" x14ac:dyDescent="0.3"/>
    <row r="823" s="7" customFormat="1" ht="14.25" customHeight="1" x14ac:dyDescent="0.3"/>
    <row r="824" s="7" customFormat="1" ht="14.25" customHeight="1" x14ac:dyDescent="0.3"/>
    <row r="825" s="7" customFormat="1" ht="14.25" customHeight="1" x14ac:dyDescent="0.3"/>
    <row r="826" s="7" customFormat="1" ht="14.25" customHeight="1" x14ac:dyDescent="0.3"/>
    <row r="827" s="7" customFormat="1" ht="14.25" customHeight="1" x14ac:dyDescent="0.3"/>
    <row r="828" s="7" customFormat="1" ht="14.25" customHeight="1" x14ac:dyDescent="0.3"/>
    <row r="829" s="7" customFormat="1" ht="14.25" customHeight="1" x14ac:dyDescent="0.3"/>
    <row r="830" s="7" customFormat="1" ht="14.25" customHeight="1" x14ac:dyDescent="0.3"/>
    <row r="831" s="7" customFormat="1" ht="14.25" customHeight="1" x14ac:dyDescent="0.3"/>
    <row r="832" s="7" customFormat="1" ht="14.25" customHeight="1" x14ac:dyDescent="0.3"/>
    <row r="833" s="7" customFormat="1" ht="14.25" customHeight="1" x14ac:dyDescent="0.3"/>
    <row r="834" s="7" customFormat="1" ht="14.25" customHeight="1" x14ac:dyDescent="0.3"/>
    <row r="835" s="7" customFormat="1" ht="14.25" customHeight="1" x14ac:dyDescent="0.3"/>
    <row r="836" s="7" customFormat="1" ht="14.25" customHeight="1" x14ac:dyDescent="0.3"/>
    <row r="837" s="7" customFormat="1" ht="14.25" customHeight="1" x14ac:dyDescent="0.3"/>
    <row r="838" s="7" customFormat="1" ht="14.25" customHeight="1" x14ac:dyDescent="0.3"/>
    <row r="839" s="7" customFormat="1" ht="14.25" customHeight="1" x14ac:dyDescent="0.3"/>
    <row r="840" s="7" customFormat="1" ht="14.25" customHeight="1" x14ac:dyDescent="0.3"/>
    <row r="841" s="7" customFormat="1" ht="14.25" customHeight="1" x14ac:dyDescent="0.3"/>
    <row r="842" s="7" customFormat="1" ht="14.25" customHeight="1" x14ac:dyDescent="0.3"/>
    <row r="843" s="7" customFormat="1" ht="14.25" customHeight="1" x14ac:dyDescent="0.3"/>
    <row r="844" s="7" customFormat="1" ht="14.25" customHeight="1" x14ac:dyDescent="0.3"/>
    <row r="845" s="7" customFormat="1" ht="14.25" customHeight="1" x14ac:dyDescent="0.3"/>
    <row r="846" s="7" customFormat="1" ht="14.25" customHeight="1" x14ac:dyDescent="0.3"/>
    <row r="847" s="7" customFormat="1" ht="14.25" customHeight="1" x14ac:dyDescent="0.3"/>
    <row r="848" s="7" customFormat="1" ht="14.25" customHeight="1" x14ac:dyDescent="0.3"/>
    <row r="849" s="7" customFormat="1" ht="14.25" customHeight="1" x14ac:dyDescent="0.3"/>
    <row r="850" s="7" customFormat="1" ht="14.25" customHeight="1" x14ac:dyDescent="0.3"/>
    <row r="851" s="7" customFormat="1" ht="14.25" customHeight="1" x14ac:dyDescent="0.3"/>
    <row r="852" s="7" customFormat="1" ht="14.25" customHeight="1" x14ac:dyDescent="0.3"/>
    <row r="853" s="7" customFormat="1" ht="14.25" customHeight="1" x14ac:dyDescent="0.3"/>
    <row r="854" s="7" customFormat="1" ht="14.25" customHeight="1" x14ac:dyDescent="0.3"/>
    <row r="855" s="7" customFormat="1" ht="14.25" customHeight="1" x14ac:dyDescent="0.3"/>
    <row r="856" s="7" customFormat="1" ht="14.25" customHeight="1" x14ac:dyDescent="0.3"/>
    <row r="857" s="7" customFormat="1" ht="14.25" customHeight="1" x14ac:dyDescent="0.3"/>
    <row r="858" s="7" customFormat="1" ht="14.25" customHeight="1" x14ac:dyDescent="0.3"/>
    <row r="859" s="7" customFormat="1" ht="14.25" customHeight="1" x14ac:dyDescent="0.3"/>
    <row r="860" s="7" customFormat="1" ht="14.25" customHeight="1" x14ac:dyDescent="0.3"/>
    <row r="861" s="7" customFormat="1" ht="14.25" customHeight="1" x14ac:dyDescent="0.3"/>
    <row r="862" s="7" customFormat="1" ht="14.25" customHeight="1" x14ac:dyDescent="0.3"/>
    <row r="863" s="7" customFormat="1" ht="14.25" customHeight="1" x14ac:dyDescent="0.3"/>
    <row r="864" s="7" customFormat="1" ht="14.25" customHeight="1" x14ac:dyDescent="0.3"/>
    <row r="865" s="7" customFormat="1" ht="14.25" customHeight="1" x14ac:dyDescent="0.3"/>
    <row r="866" s="7" customFormat="1" ht="14.25" customHeight="1" x14ac:dyDescent="0.3"/>
    <row r="867" s="7" customFormat="1" ht="14.25" customHeight="1" x14ac:dyDescent="0.3"/>
    <row r="868" s="7" customFormat="1" ht="14.25" customHeight="1" x14ac:dyDescent="0.3"/>
    <row r="869" s="7" customFormat="1" ht="14.25" customHeight="1" x14ac:dyDescent="0.3"/>
    <row r="870" s="7" customFormat="1" ht="14.25" customHeight="1" x14ac:dyDescent="0.3"/>
    <row r="871" s="7" customFormat="1" ht="14.25" customHeight="1" x14ac:dyDescent="0.3"/>
    <row r="872" s="7" customFormat="1" ht="14.25" customHeight="1" x14ac:dyDescent="0.3"/>
    <row r="873" s="7" customFormat="1" ht="14.25" customHeight="1" x14ac:dyDescent="0.3"/>
    <row r="874" s="7" customFormat="1" ht="14.25" customHeight="1" x14ac:dyDescent="0.3"/>
    <row r="875" s="7" customFormat="1" ht="14.25" customHeight="1" x14ac:dyDescent="0.3"/>
    <row r="876" s="7" customFormat="1" ht="14.25" customHeight="1" x14ac:dyDescent="0.3"/>
    <row r="877" s="7" customFormat="1" ht="14.25" customHeight="1" x14ac:dyDescent="0.3"/>
    <row r="878" s="7" customFormat="1" ht="14.25" customHeight="1" x14ac:dyDescent="0.3"/>
    <row r="879" s="7" customFormat="1" ht="14.25" customHeight="1" x14ac:dyDescent="0.3"/>
    <row r="880" s="7" customFormat="1" ht="14.25" customHeight="1" x14ac:dyDescent="0.3"/>
    <row r="881" s="7" customFormat="1" ht="14.25" customHeight="1" x14ac:dyDescent="0.3"/>
    <row r="882" s="7" customFormat="1" ht="14.25" customHeight="1" x14ac:dyDescent="0.3"/>
    <row r="883" s="7" customFormat="1" ht="14.25" customHeight="1" x14ac:dyDescent="0.3"/>
    <row r="884" s="7" customFormat="1" ht="14.25" customHeight="1" x14ac:dyDescent="0.3"/>
    <row r="885" s="7" customFormat="1" ht="14.25" customHeight="1" x14ac:dyDescent="0.3"/>
    <row r="886" s="7" customFormat="1" ht="14.25" customHeight="1" x14ac:dyDescent="0.3"/>
    <row r="887" s="7" customFormat="1" ht="14.25" customHeight="1" x14ac:dyDescent="0.3"/>
    <row r="888" s="7" customFormat="1" ht="14.25" customHeight="1" x14ac:dyDescent="0.3"/>
    <row r="889" s="7" customFormat="1" ht="14.25" customHeight="1" x14ac:dyDescent="0.3"/>
    <row r="890" s="7" customFormat="1" ht="14.25" customHeight="1" x14ac:dyDescent="0.3"/>
    <row r="891" s="7" customFormat="1" ht="14.25" customHeight="1" x14ac:dyDescent="0.3"/>
    <row r="892" s="7" customFormat="1" ht="14.25" customHeight="1" x14ac:dyDescent="0.3"/>
    <row r="893" s="7" customFormat="1" ht="14.25" customHeight="1" x14ac:dyDescent="0.3"/>
    <row r="894" s="7" customFormat="1" ht="14.25" customHeight="1" x14ac:dyDescent="0.3"/>
    <row r="895" s="7" customFormat="1" ht="14.25" customHeight="1" x14ac:dyDescent="0.3"/>
    <row r="896" s="7" customFormat="1" ht="14.25" customHeight="1" x14ac:dyDescent="0.3"/>
    <row r="897" s="7" customFormat="1" ht="14.25" customHeight="1" x14ac:dyDescent="0.3"/>
    <row r="898" s="7" customFormat="1" ht="14.25" customHeight="1" x14ac:dyDescent="0.3"/>
    <row r="899" s="7" customFormat="1" ht="14.25" customHeight="1" x14ac:dyDescent="0.3"/>
    <row r="900" s="7" customFormat="1" ht="14.25" customHeight="1" x14ac:dyDescent="0.3"/>
    <row r="901" s="7" customFormat="1" ht="14.25" customHeight="1" x14ac:dyDescent="0.3"/>
    <row r="902" s="7" customFormat="1" ht="14.25" customHeight="1" x14ac:dyDescent="0.3"/>
    <row r="903" s="7" customFormat="1" ht="14.25" customHeight="1" x14ac:dyDescent="0.3"/>
    <row r="904" s="7" customFormat="1" ht="14.25" customHeight="1" x14ac:dyDescent="0.3"/>
    <row r="905" s="7" customFormat="1" ht="14.25" customHeight="1" x14ac:dyDescent="0.3"/>
    <row r="906" s="7" customFormat="1" ht="14.25" customHeight="1" x14ac:dyDescent="0.3"/>
    <row r="907" s="7" customFormat="1" ht="14.25" customHeight="1" x14ac:dyDescent="0.3"/>
    <row r="908" s="7" customFormat="1" ht="14.25" customHeight="1" x14ac:dyDescent="0.3"/>
    <row r="909" s="7" customFormat="1" ht="14.25" customHeight="1" x14ac:dyDescent="0.3"/>
    <row r="910" s="7" customFormat="1" ht="14.25" customHeight="1" x14ac:dyDescent="0.3"/>
    <row r="911" s="7" customFormat="1" ht="14.25" customHeight="1" x14ac:dyDescent="0.3"/>
    <row r="912" s="7" customFormat="1" ht="14.25" customHeight="1" x14ac:dyDescent="0.3"/>
    <row r="913" s="7" customFormat="1" ht="14.25" customHeight="1" x14ac:dyDescent="0.3"/>
    <row r="914" s="7" customFormat="1" ht="14.25" customHeight="1" x14ac:dyDescent="0.3"/>
    <row r="915" s="7" customFormat="1" ht="14.25" customHeight="1" x14ac:dyDescent="0.3"/>
    <row r="916" s="7" customFormat="1" ht="14.25" customHeight="1" x14ac:dyDescent="0.3"/>
    <row r="917" s="7" customFormat="1" ht="14.25" customHeight="1" x14ac:dyDescent="0.3"/>
    <row r="918" s="7" customFormat="1" ht="14.25" customHeight="1" x14ac:dyDescent="0.3"/>
    <row r="919" s="7" customFormat="1" ht="14.25" customHeight="1" x14ac:dyDescent="0.3"/>
    <row r="920" s="7" customFormat="1" ht="14.25" customHeight="1" x14ac:dyDescent="0.3"/>
    <row r="921" s="7" customFormat="1" ht="14.25" customHeight="1" x14ac:dyDescent="0.3"/>
    <row r="922" s="7" customFormat="1" ht="14.25" customHeight="1" x14ac:dyDescent="0.3"/>
    <row r="923" s="7" customFormat="1" ht="14.25" customHeight="1" x14ac:dyDescent="0.3"/>
    <row r="924" s="7" customFormat="1" ht="14.25" customHeight="1" x14ac:dyDescent="0.3"/>
    <row r="925" s="7" customFormat="1" ht="14.25" customHeight="1" x14ac:dyDescent="0.3"/>
    <row r="926" s="7" customFormat="1" ht="14.25" customHeight="1" x14ac:dyDescent="0.3"/>
    <row r="927" s="7" customFormat="1" ht="14.25" customHeight="1" x14ac:dyDescent="0.3"/>
    <row r="928" s="7" customFormat="1" ht="14.25" customHeight="1" x14ac:dyDescent="0.3"/>
    <row r="929" s="7" customFormat="1" ht="14.25" customHeight="1" x14ac:dyDescent="0.3"/>
    <row r="930" s="7" customFormat="1" ht="14.25" customHeight="1" x14ac:dyDescent="0.3"/>
    <row r="931" s="7" customFormat="1" ht="14.25" customHeight="1" x14ac:dyDescent="0.3"/>
    <row r="932" s="7" customFormat="1" ht="14.25" customHeight="1" x14ac:dyDescent="0.3"/>
    <row r="933" s="7" customFormat="1" ht="14.25" customHeight="1" x14ac:dyDescent="0.3"/>
    <row r="934" s="7" customFormat="1" ht="14.25" customHeight="1" x14ac:dyDescent="0.3"/>
    <row r="935" s="7" customFormat="1" ht="14.25" customHeight="1" x14ac:dyDescent="0.3"/>
    <row r="936" s="7" customFormat="1" ht="14.25" customHeight="1" x14ac:dyDescent="0.3"/>
    <row r="937" s="7" customFormat="1" ht="14.25" customHeight="1" x14ac:dyDescent="0.3"/>
    <row r="938" s="7" customFormat="1" ht="14.25" customHeight="1" x14ac:dyDescent="0.3"/>
    <row r="939" s="7" customFormat="1" ht="14.25" customHeight="1" x14ac:dyDescent="0.3"/>
    <row r="940" s="7" customFormat="1" ht="14.25" customHeight="1" x14ac:dyDescent="0.3"/>
    <row r="941" s="7" customFormat="1" ht="14.25" customHeight="1" x14ac:dyDescent="0.3"/>
    <row r="942" s="7" customFormat="1" ht="14.25" customHeight="1" x14ac:dyDescent="0.3"/>
    <row r="943" s="7" customFormat="1" ht="14.25" customHeight="1" x14ac:dyDescent="0.3"/>
    <row r="944" s="7" customFormat="1" ht="14.25" customHeight="1" x14ac:dyDescent="0.3"/>
    <row r="945" s="7" customFormat="1" ht="14.25" customHeight="1" x14ac:dyDescent="0.3"/>
    <row r="946" s="7" customFormat="1" ht="14.25" customHeight="1" x14ac:dyDescent="0.3"/>
    <row r="947" s="7" customFormat="1" ht="14.25" customHeight="1" x14ac:dyDescent="0.3"/>
    <row r="948" s="7" customFormat="1" ht="14.25" customHeight="1" x14ac:dyDescent="0.3"/>
    <row r="949" s="7" customFormat="1" ht="14.25" customHeight="1" x14ac:dyDescent="0.3"/>
    <row r="950" s="7" customFormat="1" ht="14.25" customHeight="1" x14ac:dyDescent="0.3"/>
    <row r="951" s="7" customFormat="1" ht="14.25" customHeight="1" x14ac:dyDescent="0.3"/>
    <row r="952" s="7" customFormat="1" ht="14.25" customHeight="1" x14ac:dyDescent="0.3"/>
    <row r="953" s="7" customFormat="1" ht="14.25" customHeight="1" x14ac:dyDescent="0.3"/>
    <row r="954" s="7" customFormat="1" ht="14.25" customHeight="1" x14ac:dyDescent="0.3"/>
    <row r="955" s="7" customFormat="1" ht="14.25" customHeight="1" x14ac:dyDescent="0.3"/>
    <row r="956" s="7" customFormat="1" ht="14.25" customHeight="1" x14ac:dyDescent="0.3"/>
    <row r="957" s="7" customFormat="1" ht="14.25" customHeight="1" x14ac:dyDescent="0.3"/>
    <row r="958" s="7" customFormat="1" ht="14.25" customHeight="1" x14ac:dyDescent="0.3"/>
    <row r="959" s="7" customFormat="1" ht="14.25" customHeight="1" x14ac:dyDescent="0.3"/>
    <row r="960" s="7" customFormat="1" ht="14.25" customHeight="1" x14ac:dyDescent="0.3"/>
    <row r="961" s="7" customFormat="1" ht="14.25" customHeight="1" x14ac:dyDescent="0.3"/>
    <row r="962" s="7" customFormat="1" ht="14.25" customHeight="1" x14ac:dyDescent="0.3"/>
    <row r="963" s="7" customFormat="1" ht="14.25" customHeight="1" x14ac:dyDescent="0.3"/>
    <row r="964" s="7" customFormat="1" ht="14.25" customHeight="1" x14ac:dyDescent="0.3"/>
    <row r="965" s="7" customFormat="1" ht="14.25" customHeight="1" x14ac:dyDescent="0.3"/>
    <row r="966" s="7" customFormat="1" ht="14.25" customHeight="1" x14ac:dyDescent="0.3"/>
    <row r="967" s="7" customFormat="1" ht="14.25" customHeight="1" x14ac:dyDescent="0.3"/>
    <row r="968" s="7" customFormat="1" ht="14.25" customHeight="1" x14ac:dyDescent="0.3"/>
    <row r="969" s="7" customFormat="1" ht="14.25" customHeight="1" x14ac:dyDescent="0.3"/>
    <row r="970" s="7" customFormat="1" ht="14.25" customHeight="1" x14ac:dyDescent="0.3"/>
    <row r="971" s="7" customFormat="1" ht="14.25" customHeight="1" x14ac:dyDescent="0.3"/>
    <row r="972" s="7" customFormat="1" ht="14.25" customHeight="1" x14ac:dyDescent="0.3"/>
    <row r="973" s="7" customFormat="1" ht="14.25" customHeight="1" x14ac:dyDescent="0.3"/>
    <row r="974" s="7" customFormat="1" ht="14.25" customHeight="1" x14ac:dyDescent="0.3"/>
    <row r="975" s="7" customFormat="1" ht="14.25" customHeight="1" x14ac:dyDescent="0.3"/>
    <row r="976" s="7" customFormat="1" ht="14.25" customHeight="1" x14ac:dyDescent="0.3"/>
    <row r="977" s="7" customFormat="1" ht="14.25" customHeight="1" x14ac:dyDescent="0.3"/>
    <row r="978" s="7" customFormat="1" ht="14.25" customHeight="1" x14ac:dyDescent="0.3"/>
    <row r="979" s="7" customFormat="1" ht="14.25" customHeight="1" x14ac:dyDescent="0.3"/>
    <row r="980" s="7" customFormat="1" ht="14.25" customHeight="1" x14ac:dyDescent="0.3"/>
    <row r="981" s="7" customFormat="1" ht="14.25" customHeight="1" x14ac:dyDescent="0.3"/>
    <row r="982" s="7" customFormat="1" ht="14.25" customHeight="1" x14ac:dyDescent="0.3"/>
    <row r="983" s="7" customFormat="1" ht="14.25" customHeight="1" x14ac:dyDescent="0.3"/>
    <row r="984" s="7" customFormat="1" ht="14.25" customHeight="1" x14ac:dyDescent="0.3"/>
    <row r="985" s="7" customFormat="1" ht="14.25" customHeight="1" x14ac:dyDescent="0.3"/>
    <row r="986" s="7" customFormat="1" ht="14.25" customHeight="1" x14ac:dyDescent="0.3"/>
    <row r="987" s="7" customFormat="1" ht="14.25" customHeight="1" x14ac:dyDescent="0.3"/>
    <row r="988" s="7" customFormat="1" ht="14.25" customHeight="1" x14ac:dyDescent="0.3"/>
    <row r="989" s="7" customFormat="1" ht="14.25" customHeight="1" x14ac:dyDescent="0.3"/>
    <row r="990" s="7" customFormat="1" ht="14.25" customHeight="1" x14ac:dyDescent="0.3"/>
    <row r="991" s="7" customFormat="1" ht="14.25" customHeight="1" x14ac:dyDescent="0.3"/>
    <row r="992" s="7" customFormat="1" ht="14.25" customHeight="1" x14ac:dyDescent="0.3"/>
    <row r="993" s="7" customFormat="1" ht="14.25" customHeight="1" x14ac:dyDescent="0.3"/>
    <row r="994" s="7" customFormat="1" ht="14.25" customHeight="1" x14ac:dyDescent="0.3"/>
    <row r="995" s="7" customFormat="1" ht="14.25" customHeight="1" x14ac:dyDescent="0.3"/>
    <row r="996" s="7" customFormat="1" ht="14.25" customHeight="1" x14ac:dyDescent="0.3"/>
    <row r="997" s="7" customFormat="1" ht="14.25" customHeight="1" x14ac:dyDescent="0.3"/>
    <row r="998" s="7" customFormat="1" ht="14.25" customHeight="1" x14ac:dyDescent="0.3"/>
    <row r="999" s="7" customFormat="1" ht="14.25" customHeight="1" x14ac:dyDescent="0.3"/>
    <row r="1000" s="7" customFormat="1" ht="14.25" customHeight="1" x14ac:dyDescent="0.3"/>
  </sheetData>
  <mergeCells count="6">
    <mergeCell ref="A25:K25"/>
    <mergeCell ref="A1:K1"/>
    <mergeCell ref="A5:K5"/>
    <mergeCell ref="A13:K13"/>
    <mergeCell ref="A17:K17"/>
    <mergeCell ref="A20:K20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0"/>
  <sheetViews>
    <sheetView workbookViewId="0">
      <selection activeCell="E25" sqref="A1:XFD1048576"/>
    </sheetView>
  </sheetViews>
  <sheetFormatPr defaultColWidth="14.44140625" defaultRowHeight="15" customHeight="1" x14ac:dyDescent="0.3"/>
  <cols>
    <col min="1" max="1" width="28.88671875" style="7" customWidth="1"/>
    <col min="2" max="11" width="18.5546875" style="7" customWidth="1"/>
    <col min="12" max="26" width="8.6640625" style="7" customWidth="1"/>
    <col min="27" max="16384" width="14.44140625" style="7"/>
  </cols>
  <sheetData>
    <row r="1" spans="1:11" ht="14.25" customHeight="1" x14ac:dyDescent="0.3"/>
    <row r="2" spans="1:11" ht="14.25" customHeight="1" x14ac:dyDescent="0.3">
      <c r="A2" s="22"/>
      <c r="B2" s="113">
        <v>2021</v>
      </c>
      <c r="C2" s="91"/>
      <c r="D2" s="113">
        <v>2022</v>
      </c>
      <c r="E2" s="91"/>
      <c r="F2" s="113">
        <v>2023</v>
      </c>
      <c r="G2" s="91"/>
      <c r="H2" s="113">
        <v>2024</v>
      </c>
      <c r="I2" s="91"/>
      <c r="J2" s="113">
        <v>2025</v>
      </c>
      <c r="K2" s="91"/>
    </row>
    <row r="3" spans="1:11" ht="14.25" customHeight="1" x14ac:dyDescent="0.3">
      <c r="A3" s="22"/>
      <c r="B3" s="75" t="s">
        <v>415</v>
      </c>
      <c r="C3" s="75" t="s">
        <v>416</v>
      </c>
      <c r="D3" s="75" t="s">
        <v>415</v>
      </c>
      <c r="E3" s="75" t="s">
        <v>416</v>
      </c>
      <c r="F3" s="75" t="s">
        <v>415</v>
      </c>
      <c r="G3" s="75" t="s">
        <v>416</v>
      </c>
      <c r="H3" s="75" t="s">
        <v>415</v>
      </c>
      <c r="I3" s="75" t="s">
        <v>416</v>
      </c>
      <c r="J3" s="75" t="s">
        <v>415</v>
      </c>
      <c r="K3" s="75" t="s">
        <v>416</v>
      </c>
    </row>
    <row r="4" spans="1:11" ht="14.25" customHeight="1" x14ac:dyDescent="0.3">
      <c r="A4" s="22" t="s">
        <v>417</v>
      </c>
      <c r="B4" s="54">
        <v>20856190205660</v>
      </c>
      <c r="C4" s="54">
        <v>20761202484160</v>
      </c>
      <c r="D4" s="54">
        <v>20761202484160</v>
      </c>
      <c r="E4" s="54">
        <v>20704046691470</v>
      </c>
      <c r="F4" s="54">
        <v>20704046691470</v>
      </c>
      <c r="G4" s="54">
        <v>21632848207600</v>
      </c>
      <c r="H4" s="54">
        <v>21632848207600</v>
      </c>
      <c r="I4" s="54">
        <v>23614557761223</v>
      </c>
      <c r="J4" s="54">
        <v>23614557761223</v>
      </c>
      <c r="K4" s="54">
        <v>28309862682750</v>
      </c>
    </row>
    <row r="5" spans="1:11" ht="14.25" customHeight="1" x14ac:dyDescent="0.3">
      <c r="A5" s="15" t="s">
        <v>3</v>
      </c>
      <c r="B5" s="114">
        <f>AVERAGE(B4:C4)</f>
        <v>20808696344910</v>
      </c>
      <c r="C5" s="115"/>
      <c r="D5" s="114">
        <f>AVERAGE(D4:E4)</f>
        <v>20732624587815</v>
      </c>
      <c r="E5" s="115"/>
      <c r="F5" s="114">
        <f>AVERAGE(F4:G4)</f>
        <v>21168447449535</v>
      </c>
      <c r="G5" s="115"/>
      <c r="H5" s="114">
        <f>AVERAGE(H4:I4)</f>
        <v>22623702984411.5</v>
      </c>
      <c r="I5" s="115"/>
      <c r="J5" s="114">
        <f>AVERAGE(J4:K4)</f>
        <v>25962210221986.5</v>
      </c>
      <c r="K5" s="115"/>
    </row>
    <row r="6" spans="1:11" ht="14.25" customHeight="1" x14ac:dyDescent="0.3">
      <c r="A6" s="22" t="s">
        <v>418</v>
      </c>
      <c r="B6" s="54">
        <v>6814172858945</v>
      </c>
      <c r="C6" s="54">
        <v>6929622017040</v>
      </c>
      <c r="D6" s="54">
        <v>6929622017040</v>
      </c>
      <c r="E6" s="54">
        <v>6625537388340</v>
      </c>
      <c r="F6" s="54">
        <v>6625537388340</v>
      </c>
      <c r="G6" s="54">
        <v>6734690667600</v>
      </c>
      <c r="H6" s="54">
        <v>6734690667600</v>
      </c>
      <c r="I6" s="54">
        <v>7562215436820</v>
      </c>
      <c r="J6" s="54">
        <v>7562215436820</v>
      </c>
      <c r="K6" s="54">
        <v>11211575733628</v>
      </c>
    </row>
    <row r="7" spans="1:11" ht="14.25" customHeight="1" x14ac:dyDescent="0.3">
      <c r="A7" s="15" t="s">
        <v>3</v>
      </c>
      <c r="B7" s="114">
        <f>AVERAGE(B6:C6)</f>
        <v>6871897437992.5</v>
      </c>
      <c r="C7" s="115"/>
      <c r="D7" s="114">
        <f>AVERAGE(D6:E6)</f>
        <v>6777579702690</v>
      </c>
      <c r="E7" s="115"/>
      <c r="F7" s="114">
        <f>AVERAGE(F6:G6)</f>
        <v>6680114027970</v>
      </c>
      <c r="G7" s="115"/>
      <c r="H7" s="114">
        <f>AVERAGE(H6:I6)</f>
        <v>7148453052210</v>
      </c>
      <c r="I7" s="115"/>
      <c r="J7" s="114">
        <f>AVERAGE(J6:K6)</f>
        <v>9386895585224</v>
      </c>
      <c r="K7" s="115"/>
    </row>
    <row r="8" spans="1:11" ht="14.25" customHeight="1" x14ac:dyDescent="0.3">
      <c r="A8" s="22" t="s">
        <v>376</v>
      </c>
      <c r="B8" s="54">
        <v>14042017346715</v>
      </c>
      <c r="C8" s="54">
        <v>13831580467120</v>
      </c>
      <c r="D8" s="54">
        <v>13831580467120</v>
      </c>
      <c r="E8" s="54">
        <v>14078509303130</v>
      </c>
      <c r="F8" s="54">
        <v>14078509303130</v>
      </c>
      <c r="G8" s="54">
        <v>14898157540000</v>
      </c>
      <c r="H8" s="54">
        <v>14898157540000</v>
      </c>
      <c r="I8" s="54">
        <v>16052342324403</v>
      </c>
      <c r="J8" s="54">
        <v>16052342324403</v>
      </c>
      <c r="K8" s="54">
        <v>17098286949122</v>
      </c>
    </row>
    <row r="9" spans="1:11" ht="14.25" customHeight="1" x14ac:dyDescent="0.3">
      <c r="A9" s="15" t="s">
        <v>3</v>
      </c>
      <c r="B9" s="114">
        <f>AVERAGE(B8:C8)</f>
        <v>13936798906917.5</v>
      </c>
      <c r="C9" s="115"/>
      <c r="D9" s="114">
        <f>AVERAGE(D8:E8)</f>
        <v>13955044885125</v>
      </c>
      <c r="E9" s="115"/>
      <c r="F9" s="114">
        <f>AVERAGE(F8:G8)</f>
        <v>14488333421565</v>
      </c>
      <c r="G9" s="115"/>
      <c r="H9" s="114">
        <f>AVERAGE(H8:I8)</f>
        <v>15475249932201.5</v>
      </c>
      <c r="I9" s="115"/>
      <c r="J9" s="114">
        <f>AVERAGE(J8:K8)</f>
        <v>16575314636762.5</v>
      </c>
      <c r="K9" s="115"/>
    </row>
    <row r="10" spans="1:11" ht="14.25" customHeight="1" x14ac:dyDescent="0.3"/>
    <row r="11" spans="1:11" ht="14.25" customHeight="1" x14ac:dyDescent="0.3"/>
    <row r="12" spans="1:11" ht="14.25" customHeight="1" x14ac:dyDescent="0.3"/>
    <row r="13" spans="1:11" ht="14.25" customHeight="1" x14ac:dyDescent="0.3">
      <c r="B13" s="7" t="s">
        <v>3</v>
      </c>
    </row>
    <row r="14" spans="1:11" ht="14.25" customHeight="1" x14ac:dyDescent="0.3">
      <c r="B14" s="7" t="s">
        <v>419</v>
      </c>
      <c r="C14" s="35">
        <f>B5</f>
        <v>20808696344910</v>
      </c>
      <c r="D14" s="35">
        <f>D5</f>
        <v>20732624587815</v>
      </c>
      <c r="E14" s="35">
        <f>F5</f>
        <v>21168447449535</v>
      </c>
      <c r="F14" s="35">
        <f>H5</f>
        <v>22623702984411.5</v>
      </c>
      <c r="G14" s="35">
        <f>J5</f>
        <v>25962210221986.5</v>
      </c>
    </row>
    <row r="15" spans="1:11" ht="14.25" customHeight="1" x14ac:dyDescent="0.3">
      <c r="B15" s="7" t="s">
        <v>420</v>
      </c>
      <c r="C15" s="35">
        <f>B7</f>
        <v>6871897437992.5</v>
      </c>
      <c r="D15" s="35">
        <f>D7</f>
        <v>6777579702690</v>
      </c>
      <c r="E15" s="35">
        <f>F7</f>
        <v>6680114027970</v>
      </c>
      <c r="F15" s="35">
        <f>H7</f>
        <v>7148453052210</v>
      </c>
      <c r="G15" s="35">
        <f>J7</f>
        <v>9386895585224</v>
      </c>
    </row>
    <row r="16" spans="1:11" ht="14.25" customHeight="1" x14ac:dyDescent="0.3">
      <c r="B16" s="7" t="s">
        <v>421</v>
      </c>
      <c r="C16" s="35">
        <f>B9</f>
        <v>13936798906917.5</v>
      </c>
      <c r="D16" s="35">
        <f>D9</f>
        <v>13955044885125</v>
      </c>
      <c r="E16" s="35">
        <f>F9</f>
        <v>14488333421565</v>
      </c>
      <c r="F16" s="35">
        <f>H9</f>
        <v>15475249932201.5</v>
      </c>
      <c r="G16" s="35">
        <f>J9</f>
        <v>16575314636762.5</v>
      </c>
    </row>
    <row r="17" s="7" customFormat="1" ht="14.25" customHeight="1" x14ac:dyDescent="0.3"/>
    <row r="18" s="7" customFormat="1" ht="14.25" customHeight="1" x14ac:dyDescent="0.3"/>
    <row r="19" s="7" customFormat="1" ht="14.25" customHeight="1" x14ac:dyDescent="0.3"/>
    <row r="20" s="7" customFormat="1" ht="14.25" customHeight="1" x14ac:dyDescent="0.3"/>
    <row r="21" s="7" customFormat="1" ht="14.25" customHeight="1" x14ac:dyDescent="0.3"/>
    <row r="22" s="7" customFormat="1" ht="14.25" customHeight="1" x14ac:dyDescent="0.3"/>
    <row r="23" s="7" customFormat="1" ht="14.25" customHeight="1" x14ac:dyDescent="0.3"/>
    <row r="24" s="7" customFormat="1" ht="14.25" customHeight="1" x14ac:dyDescent="0.3"/>
    <row r="25" s="7" customFormat="1" ht="14.25" customHeight="1" x14ac:dyDescent="0.3"/>
    <row r="26" s="7" customFormat="1" ht="14.25" customHeight="1" x14ac:dyDescent="0.3"/>
    <row r="27" s="7" customFormat="1" ht="14.25" customHeight="1" x14ac:dyDescent="0.3"/>
    <row r="28" s="7" customFormat="1" ht="14.25" customHeight="1" x14ac:dyDescent="0.3"/>
    <row r="29" s="7" customFormat="1" ht="14.25" customHeight="1" x14ac:dyDescent="0.3"/>
    <row r="30" s="7" customFormat="1" ht="14.25" customHeight="1" x14ac:dyDescent="0.3"/>
    <row r="31" s="7" customFormat="1" ht="14.25" customHeight="1" x14ac:dyDescent="0.3"/>
    <row r="32" s="7" customFormat="1" ht="14.25" customHeight="1" x14ac:dyDescent="0.3"/>
    <row r="33" s="7" customFormat="1" ht="14.25" customHeight="1" x14ac:dyDescent="0.3"/>
    <row r="34" s="7" customFormat="1" ht="14.25" customHeight="1" x14ac:dyDescent="0.3"/>
    <row r="35" s="7" customFormat="1" ht="14.25" customHeight="1" x14ac:dyDescent="0.3"/>
    <row r="36" s="7" customFormat="1" ht="14.25" customHeight="1" x14ac:dyDescent="0.3"/>
    <row r="37" s="7" customFormat="1" ht="14.25" customHeight="1" x14ac:dyDescent="0.3"/>
    <row r="38" s="7" customFormat="1" ht="14.25" customHeight="1" x14ac:dyDescent="0.3"/>
    <row r="39" s="7" customFormat="1" ht="14.25" customHeight="1" x14ac:dyDescent="0.3"/>
    <row r="40" s="7" customFormat="1" ht="14.25" customHeight="1" x14ac:dyDescent="0.3"/>
    <row r="41" s="7" customFormat="1" ht="14.25" customHeight="1" x14ac:dyDescent="0.3"/>
    <row r="42" s="7" customFormat="1" ht="14.25" customHeight="1" x14ac:dyDescent="0.3"/>
    <row r="43" s="7" customFormat="1" ht="14.25" customHeight="1" x14ac:dyDescent="0.3"/>
    <row r="44" s="7" customFormat="1" ht="14.25" customHeight="1" x14ac:dyDescent="0.3"/>
    <row r="45" s="7" customFormat="1" ht="14.25" customHeight="1" x14ac:dyDescent="0.3"/>
    <row r="46" s="7" customFormat="1" ht="14.25" customHeight="1" x14ac:dyDescent="0.3"/>
    <row r="47" s="7" customFormat="1" ht="14.25" customHeight="1" x14ac:dyDescent="0.3"/>
    <row r="48" s="7" customFormat="1" ht="14.25" customHeight="1" x14ac:dyDescent="0.3"/>
    <row r="49" s="7" customFormat="1" ht="14.25" customHeight="1" x14ac:dyDescent="0.3"/>
    <row r="50" s="7" customFormat="1" ht="14.25" customHeight="1" x14ac:dyDescent="0.3"/>
    <row r="51" s="7" customFormat="1" ht="14.25" customHeight="1" x14ac:dyDescent="0.3"/>
    <row r="52" s="7" customFormat="1" ht="14.25" customHeight="1" x14ac:dyDescent="0.3"/>
    <row r="53" s="7" customFormat="1" ht="14.25" customHeight="1" x14ac:dyDescent="0.3"/>
    <row r="54" s="7" customFormat="1" ht="14.25" customHeight="1" x14ac:dyDescent="0.3"/>
    <row r="55" s="7" customFormat="1" ht="14.25" customHeight="1" x14ac:dyDescent="0.3"/>
    <row r="56" s="7" customFormat="1" ht="14.25" customHeight="1" x14ac:dyDescent="0.3"/>
    <row r="57" s="7" customFormat="1" ht="14.25" customHeight="1" x14ac:dyDescent="0.3"/>
    <row r="58" s="7" customFormat="1" ht="14.25" customHeight="1" x14ac:dyDescent="0.3"/>
    <row r="59" s="7" customFormat="1" ht="14.25" customHeight="1" x14ac:dyDescent="0.3"/>
    <row r="60" s="7" customFormat="1" ht="14.25" customHeight="1" x14ac:dyDescent="0.3"/>
    <row r="61" s="7" customFormat="1" ht="14.25" customHeight="1" x14ac:dyDescent="0.3"/>
    <row r="62" s="7" customFormat="1" ht="14.25" customHeight="1" x14ac:dyDescent="0.3"/>
    <row r="63" s="7" customFormat="1" ht="14.25" customHeight="1" x14ac:dyDescent="0.3"/>
    <row r="64" s="7" customFormat="1" ht="14.25" customHeight="1" x14ac:dyDescent="0.3"/>
    <row r="65" s="7" customFormat="1" ht="14.25" customHeight="1" x14ac:dyDescent="0.3"/>
    <row r="66" s="7" customFormat="1" ht="14.25" customHeight="1" x14ac:dyDescent="0.3"/>
    <row r="67" s="7" customFormat="1" ht="14.25" customHeight="1" x14ac:dyDescent="0.3"/>
    <row r="68" s="7" customFormat="1" ht="14.25" customHeight="1" x14ac:dyDescent="0.3"/>
    <row r="69" s="7" customFormat="1" ht="14.25" customHeight="1" x14ac:dyDescent="0.3"/>
    <row r="70" s="7" customFormat="1" ht="14.25" customHeight="1" x14ac:dyDescent="0.3"/>
    <row r="71" s="7" customFormat="1" ht="14.25" customHeight="1" x14ac:dyDescent="0.3"/>
    <row r="72" s="7" customFormat="1" ht="14.25" customHeight="1" x14ac:dyDescent="0.3"/>
    <row r="73" s="7" customFormat="1" ht="14.25" customHeight="1" x14ac:dyDescent="0.3"/>
    <row r="74" s="7" customFormat="1" ht="14.25" customHeight="1" x14ac:dyDescent="0.3"/>
    <row r="75" s="7" customFormat="1" ht="14.25" customHeight="1" x14ac:dyDescent="0.3"/>
    <row r="76" s="7" customFormat="1" ht="14.25" customHeight="1" x14ac:dyDescent="0.3"/>
    <row r="77" s="7" customFormat="1" ht="14.25" customHeight="1" x14ac:dyDescent="0.3"/>
    <row r="78" s="7" customFormat="1" ht="14.25" customHeight="1" x14ac:dyDescent="0.3"/>
    <row r="79" s="7" customFormat="1" ht="14.25" customHeight="1" x14ac:dyDescent="0.3"/>
    <row r="80" s="7" customFormat="1" ht="14.25" customHeight="1" x14ac:dyDescent="0.3"/>
    <row r="81" s="7" customFormat="1" ht="14.25" customHeight="1" x14ac:dyDescent="0.3"/>
    <row r="82" s="7" customFormat="1" ht="14.25" customHeight="1" x14ac:dyDescent="0.3"/>
    <row r="83" s="7" customFormat="1" ht="14.25" customHeight="1" x14ac:dyDescent="0.3"/>
    <row r="84" s="7" customFormat="1" ht="14.25" customHeight="1" x14ac:dyDescent="0.3"/>
    <row r="85" s="7" customFormat="1" ht="14.25" customHeight="1" x14ac:dyDescent="0.3"/>
    <row r="86" s="7" customFormat="1" ht="14.25" customHeight="1" x14ac:dyDescent="0.3"/>
    <row r="87" s="7" customFormat="1" ht="14.25" customHeight="1" x14ac:dyDescent="0.3"/>
    <row r="88" s="7" customFormat="1" ht="14.25" customHeight="1" x14ac:dyDescent="0.3"/>
    <row r="89" s="7" customFormat="1" ht="14.25" customHeight="1" x14ac:dyDescent="0.3"/>
    <row r="90" s="7" customFormat="1" ht="14.25" customHeight="1" x14ac:dyDescent="0.3"/>
    <row r="91" s="7" customFormat="1" ht="14.25" customHeight="1" x14ac:dyDescent="0.3"/>
    <row r="92" s="7" customFormat="1" ht="14.25" customHeight="1" x14ac:dyDescent="0.3"/>
    <row r="93" s="7" customFormat="1" ht="14.25" customHeight="1" x14ac:dyDescent="0.3"/>
    <row r="94" s="7" customFormat="1" ht="14.25" customHeight="1" x14ac:dyDescent="0.3"/>
    <row r="95" s="7" customFormat="1" ht="14.25" customHeight="1" x14ac:dyDescent="0.3"/>
    <row r="96" s="7" customFormat="1" ht="14.25" customHeight="1" x14ac:dyDescent="0.3"/>
    <row r="97" s="7" customFormat="1" ht="14.25" customHeight="1" x14ac:dyDescent="0.3"/>
    <row r="98" s="7" customFormat="1" ht="14.25" customHeight="1" x14ac:dyDescent="0.3"/>
    <row r="99" s="7" customFormat="1" ht="14.25" customHeight="1" x14ac:dyDescent="0.3"/>
    <row r="100" s="7" customFormat="1" ht="14.25" customHeight="1" x14ac:dyDescent="0.3"/>
    <row r="101" s="7" customFormat="1" ht="14.25" customHeight="1" x14ac:dyDescent="0.3"/>
    <row r="102" s="7" customFormat="1" ht="14.25" customHeight="1" x14ac:dyDescent="0.3"/>
    <row r="103" s="7" customFormat="1" ht="14.25" customHeight="1" x14ac:dyDescent="0.3"/>
    <row r="104" s="7" customFormat="1" ht="14.25" customHeight="1" x14ac:dyDescent="0.3"/>
    <row r="105" s="7" customFormat="1" ht="14.25" customHeight="1" x14ac:dyDescent="0.3"/>
    <row r="106" s="7" customFormat="1" ht="14.25" customHeight="1" x14ac:dyDescent="0.3"/>
    <row r="107" s="7" customFormat="1" ht="14.25" customHeight="1" x14ac:dyDescent="0.3"/>
    <row r="108" s="7" customFormat="1" ht="14.25" customHeight="1" x14ac:dyDescent="0.3"/>
    <row r="109" s="7" customFormat="1" ht="14.25" customHeight="1" x14ac:dyDescent="0.3"/>
    <row r="110" s="7" customFormat="1" ht="14.25" customHeight="1" x14ac:dyDescent="0.3"/>
    <row r="111" s="7" customFormat="1" ht="14.25" customHeight="1" x14ac:dyDescent="0.3"/>
    <row r="112" s="7" customFormat="1" ht="14.25" customHeight="1" x14ac:dyDescent="0.3"/>
    <row r="113" s="7" customFormat="1" ht="14.25" customHeight="1" x14ac:dyDescent="0.3"/>
    <row r="114" s="7" customFormat="1" ht="14.25" customHeight="1" x14ac:dyDescent="0.3"/>
    <row r="115" s="7" customFormat="1" ht="14.25" customHeight="1" x14ac:dyDescent="0.3"/>
    <row r="116" s="7" customFormat="1" ht="14.25" customHeight="1" x14ac:dyDescent="0.3"/>
    <row r="117" s="7" customFormat="1" ht="14.25" customHeight="1" x14ac:dyDescent="0.3"/>
    <row r="118" s="7" customFormat="1" ht="14.25" customHeight="1" x14ac:dyDescent="0.3"/>
    <row r="119" s="7" customFormat="1" ht="14.25" customHeight="1" x14ac:dyDescent="0.3"/>
    <row r="120" s="7" customFormat="1" ht="14.25" customHeight="1" x14ac:dyDescent="0.3"/>
    <row r="121" s="7" customFormat="1" ht="14.25" customHeight="1" x14ac:dyDescent="0.3"/>
    <row r="122" s="7" customFormat="1" ht="14.25" customHeight="1" x14ac:dyDescent="0.3"/>
    <row r="123" s="7" customFormat="1" ht="14.25" customHeight="1" x14ac:dyDescent="0.3"/>
    <row r="124" s="7" customFormat="1" ht="14.25" customHeight="1" x14ac:dyDescent="0.3"/>
    <row r="125" s="7" customFormat="1" ht="14.25" customHeight="1" x14ac:dyDescent="0.3"/>
    <row r="126" s="7" customFormat="1" ht="14.25" customHeight="1" x14ac:dyDescent="0.3"/>
    <row r="127" s="7" customFormat="1" ht="14.25" customHeight="1" x14ac:dyDescent="0.3"/>
    <row r="128" s="7" customFormat="1" ht="14.25" customHeight="1" x14ac:dyDescent="0.3"/>
    <row r="129" s="7" customFormat="1" ht="14.25" customHeight="1" x14ac:dyDescent="0.3"/>
    <row r="130" s="7" customFormat="1" ht="14.25" customHeight="1" x14ac:dyDescent="0.3"/>
    <row r="131" s="7" customFormat="1" ht="14.25" customHeight="1" x14ac:dyDescent="0.3"/>
    <row r="132" s="7" customFormat="1" ht="14.25" customHeight="1" x14ac:dyDescent="0.3"/>
    <row r="133" s="7" customFormat="1" ht="14.25" customHeight="1" x14ac:dyDescent="0.3"/>
    <row r="134" s="7" customFormat="1" ht="14.25" customHeight="1" x14ac:dyDescent="0.3"/>
    <row r="135" s="7" customFormat="1" ht="14.25" customHeight="1" x14ac:dyDescent="0.3"/>
    <row r="136" s="7" customFormat="1" ht="14.25" customHeight="1" x14ac:dyDescent="0.3"/>
    <row r="137" s="7" customFormat="1" ht="14.25" customHeight="1" x14ac:dyDescent="0.3"/>
    <row r="138" s="7" customFormat="1" ht="14.25" customHeight="1" x14ac:dyDescent="0.3"/>
    <row r="139" s="7" customFormat="1" ht="14.25" customHeight="1" x14ac:dyDescent="0.3"/>
    <row r="140" s="7" customFormat="1" ht="14.25" customHeight="1" x14ac:dyDescent="0.3"/>
    <row r="141" s="7" customFormat="1" ht="14.25" customHeight="1" x14ac:dyDescent="0.3"/>
    <row r="142" s="7" customFormat="1" ht="14.25" customHeight="1" x14ac:dyDescent="0.3"/>
    <row r="143" s="7" customFormat="1" ht="14.25" customHeight="1" x14ac:dyDescent="0.3"/>
    <row r="144" s="7" customFormat="1" ht="14.25" customHeight="1" x14ac:dyDescent="0.3"/>
    <row r="145" s="7" customFormat="1" ht="14.25" customHeight="1" x14ac:dyDescent="0.3"/>
    <row r="146" s="7" customFormat="1" ht="14.25" customHeight="1" x14ac:dyDescent="0.3"/>
    <row r="147" s="7" customFormat="1" ht="14.25" customHeight="1" x14ac:dyDescent="0.3"/>
    <row r="148" s="7" customFormat="1" ht="14.25" customHeight="1" x14ac:dyDescent="0.3"/>
    <row r="149" s="7" customFormat="1" ht="14.25" customHeight="1" x14ac:dyDescent="0.3"/>
    <row r="150" s="7" customFormat="1" ht="14.25" customHeight="1" x14ac:dyDescent="0.3"/>
    <row r="151" s="7" customFormat="1" ht="14.25" customHeight="1" x14ac:dyDescent="0.3"/>
    <row r="152" s="7" customFormat="1" ht="14.25" customHeight="1" x14ac:dyDescent="0.3"/>
    <row r="153" s="7" customFormat="1" ht="14.25" customHeight="1" x14ac:dyDescent="0.3"/>
    <row r="154" s="7" customFormat="1" ht="14.25" customHeight="1" x14ac:dyDescent="0.3"/>
    <row r="155" s="7" customFormat="1" ht="14.25" customHeight="1" x14ac:dyDescent="0.3"/>
    <row r="156" s="7" customFormat="1" ht="14.25" customHeight="1" x14ac:dyDescent="0.3"/>
    <row r="157" s="7" customFormat="1" ht="14.25" customHeight="1" x14ac:dyDescent="0.3"/>
    <row r="158" s="7" customFormat="1" ht="14.25" customHeight="1" x14ac:dyDescent="0.3"/>
    <row r="159" s="7" customFormat="1" ht="14.25" customHeight="1" x14ac:dyDescent="0.3"/>
    <row r="160" s="7" customFormat="1" ht="14.25" customHeight="1" x14ac:dyDescent="0.3"/>
    <row r="161" s="7" customFormat="1" ht="14.25" customHeight="1" x14ac:dyDescent="0.3"/>
    <row r="162" s="7" customFormat="1" ht="14.25" customHeight="1" x14ac:dyDescent="0.3"/>
    <row r="163" s="7" customFormat="1" ht="14.25" customHeight="1" x14ac:dyDescent="0.3"/>
    <row r="164" s="7" customFormat="1" ht="14.25" customHeight="1" x14ac:dyDescent="0.3"/>
    <row r="165" s="7" customFormat="1" ht="14.25" customHeight="1" x14ac:dyDescent="0.3"/>
    <row r="166" s="7" customFormat="1" ht="14.25" customHeight="1" x14ac:dyDescent="0.3"/>
    <row r="167" s="7" customFormat="1" ht="14.25" customHeight="1" x14ac:dyDescent="0.3"/>
    <row r="168" s="7" customFormat="1" ht="14.25" customHeight="1" x14ac:dyDescent="0.3"/>
    <row r="169" s="7" customFormat="1" ht="14.25" customHeight="1" x14ac:dyDescent="0.3"/>
    <row r="170" s="7" customFormat="1" ht="14.25" customHeight="1" x14ac:dyDescent="0.3"/>
    <row r="171" s="7" customFormat="1" ht="14.25" customHeight="1" x14ac:dyDescent="0.3"/>
    <row r="172" s="7" customFormat="1" ht="14.25" customHeight="1" x14ac:dyDescent="0.3"/>
    <row r="173" s="7" customFormat="1" ht="14.25" customHeight="1" x14ac:dyDescent="0.3"/>
    <row r="174" s="7" customFormat="1" ht="14.25" customHeight="1" x14ac:dyDescent="0.3"/>
    <row r="175" s="7" customFormat="1" ht="14.25" customHeight="1" x14ac:dyDescent="0.3"/>
    <row r="176" s="7" customFormat="1" ht="14.25" customHeight="1" x14ac:dyDescent="0.3"/>
    <row r="177" s="7" customFormat="1" ht="14.25" customHeight="1" x14ac:dyDescent="0.3"/>
    <row r="178" s="7" customFormat="1" ht="14.25" customHeight="1" x14ac:dyDescent="0.3"/>
    <row r="179" s="7" customFormat="1" ht="14.25" customHeight="1" x14ac:dyDescent="0.3"/>
    <row r="180" s="7" customFormat="1" ht="14.25" customHeight="1" x14ac:dyDescent="0.3"/>
    <row r="181" s="7" customFormat="1" ht="14.25" customHeight="1" x14ac:dyDescent="0.3"/>
    <row r="182" s="7" customFormat="1" ht="14.25" customHeight="1" x14ac:dyDescent="0.3"/>
    <row r="183" s="7" customFormat="1" ht="14.25" customHeight="1" x14ac:dyDescent="0.3"/>
    <row r="184" s="7" customFormat="1" ht="14.25" customHeight="1" x14ac:dyDescent="0.3"/>
    <row r="185" s="7" customFormat="1" ht="14.25" customHeight="1" x14ac:dyDescent="0.3"/>
    <row r="186" s="7" customFormat="1" ht="14.25" customHeight="1" x14ac:dyDescent="0.3"/>
    <row r="187" s="7" customFormat="1" ht="14.25" customHeight="1" x14ac:dyDescent="0.3"/>
    <row r="188" s="7" customFormat="1" ht="14.25" customHeight="1" x14ac:dyDescent="0.3"/>
    <row r="189" s="7" customFormat="1" ht="14.25" customHeight="1" x14ac:dyDescent="0.3"/>
    <row r="190" s="7" customFormat="1" ht="14.25" customHeight="1" x14ac:dyDescent="0.3"/>
    <row r="191" s="7" customFormat="1" ht="14.25" customHeight="1" x14ac:dyDescent="0.3"/>
    <row r="192" s="7" customFormat="1" ht="14.25" customHeight="1" x14ac:dyDescent="0.3"/>
    <row r="193" s="7" customFormat="1" ht="14.25" customHeight="1" x14ac:dyDescent="0.3"/>
    <row r="194" s="7" customFormat="1" ht="14.25" customHeight="1" x14ac:dyDescent="0.3"/>
    <row r="195" s="7" customFormat="1" ht="14.25" customHeight="1" x14ac:dyDescent="0.3"/>
    <row r="196" s="7" customFormat="1" ht="14.25" customHeight="1" x14ac:dyDescent="0.3"/>
    <row r="197" s="7" customFormat="1" ht="14.25" customHeight="1" x14ac:dyDescent="0.3"/>
    <row r="198" s="7" customFormat="1" ht="14.25" customHeight="1" x14ac:dyDescent="0.3"/>
    <row r="199" s="7" customFormat="1" ht="14.25" customHeight="1" x14ac:dyDescent="0.3"/>
    <row r="200" s="7" customFormat="1" ht="14.25" customHeight="1" x14ac:dyDescent="0.3"/>
    <row r="201" s="7" customFormat="1" ht="14.25" customHeight="1" x14ac:dyDescent="0.3"/>
    <row r="202" s="7" customFormat="1" ht="14.25" customHeight="1" x14ac:dyDescent="0.3"/>
    <row r="203" s="7" customFormat="1" ht="14.25" customHeight="1" x14ac:dyDescent="0.3"/>
    <row r="204" s="7" customFormat="1" ht="14.25" customHeight="1" x14ac:dyDescent="0.3"/>
    <row r="205" s="7" customFormat="1" ht="14.25" customHeight="1" x14ac:dyDescent="0.3"/>
    <row r="206" s="7" customFormat="1" ht="14.25" customHeight="1" x14ac:dyDescent="0.3"/>
    <row r="207" s="7" customFormat="1" ht="14.25" customHeight="1" x14ac:dyDescent="0.3"/>
    <row r="208" s="7" customFormat="1" ht="14.25" customHeight="1" x14ac:dyDescent="0.3"/>
    <row r="209" s="7" customFormat="1" ht="14.25" customHeight="1" x14ac:dyDescent="0.3"/>
    <row r="210" s="7" customFormat="1" ht="14.25" customHeight="1" x14ac:dyDescent="0.3"/>
    <row r="211" s="7" customFormat="1" ht="14.25" customHeight="1" x14ac:dyDescent="0.3"/>
    <row r="212" s="7" customFormat="1" ht="14.25" customHeight="1" x14ac:dyDescent="0.3"/>
    <row r="213" s="7" customFormat="1" ht="14.25" customHeight="1" x14ac:dyDescent="0.3"/>
    <row r="214" s="7" customFormat="1" ht="14.25" customHeight="1" x14ac:dyDescent="0.3"/>
    <row r="215" s="7" customFormat="1" ht="14.25" customHeight="1" x14ac:dyDescent="0.3"/>
    <row r="216" s="7" customFormat="1" ht="14.25" customHeight="1" x14ac:dyDescent="0.3"/>
    <row r="217" s="7" customFormat="1" ht="14.25" customHeight="1" x14ac:dyDescent="0.3"/>
    <row r="218" s="7" customFormat="1" ht="14.25" customHeight="1" x14ac:dyDescent="0.3"/>
    <row r="219" s="7" customFormat="1" ht="14.25" customHeight="1" x14ac:dyDescent="0.3"/>
    <row r="220" s="7" customFormat="1" ht="14.25" customHeight="1" x14ac:dyDescent="0.3"/>
    <row r="221" s="7" customFormat="1" ht="14.25" customHeight="1" x14ac:dyDescent="0.3"/>
    <row r="222" s="7" customFormat="1" ht="14.25" customHeight="1" x14ac:dyDescent="0.3"/>
    <row r="223" s="7" customFormat="1" ht="14.25" customHeight="1" x14ac:dyDescent="0.3"/>
    <row r="224" s="7" customFormat="1" ht="14.25" customHeight="1" x14ac:dyDescent="0.3"/>
    <row r="225" s="7" customFormat="1" ht="14.25" customHeight="1" x14ac:dyDescent="0.3"/>
    <row r="226" s="7" customFormat="1" ht="14.25" customHeight="1" x14ac:dyDescent="0.3"/>
    <row r="227" s="7" customFormat="1" ht="14.25" customHeight="1" x14ac:dyDescent="0.3"/>
    <row r="228" s="7" customFormat="1" ht="14.25" customHeight="1" x14ac:dyDescent="0.3"/>
    <row r="229" s="7" customFormat="1" ht="14.25" customHeight="1" x14ac:dyDescent="0.3"/>
    <row r="230" s="7" customFormat="1" ht="14.25" customHeight="1" x14ac:dyDescent="0.3"/>
    <row r="231" s="7" customFormat="1" ht="14.25" customHeight="1" x14ac:dyDescent="0.3"/>
    <row r="232" s="7" customFormat="1" ht="14.25" customHeight="1" x14ac:dyDescent="0.3"/>
    <row r="233" s="7" customFormat="1" ht="14.25" customHeight="1" x14ac:dyDescent="0.3"/>
    <row r="234" s="7" customFormat="1" ht="14.25" customHeight="1" x14ac:dyDescent="0.3"/>
    <row r="235" s="7" customFormat="1" ht="14.25" customHeight="1" x14ac:dyDescent="0.3"/>
    <row r="236" s="7" customFormat="1" ht="14.25" customHeight="1" x14ac:dyDescent="0.3"/>
    <row r="237" s="7" customFormat="1" ht="14.25" customHeight="1" x14ac:dyDescent="0.3"/>
    <row r="238" s="7" customFormat="1" ht="14.25" customHeight="1" x14ac:dyDescent="0.3"/>
    <row r="239" s="7" customFormat="1" ht="14.25" customHeight="1" x14ac:dyDescent="0.3"/>
    <row r="240" s="7" customFormat="1" ht="14.25" customHeight="1" x14ac:dyDescent="0.3"/>
    <row r="241" s="7" customFormat="1" ht="14.25" customHeight="1" x14ac:dyDescent="0.3"/>
    <row r="242" s="7" customFormat="1" ht="14.25" customHeight="1" x14ac:dyDescent="0.3"/>
    <row r="243" s="7" customFormat="1" ht="14.25" customHeight="1" x14ac:dyDescent="0.3"/>
    <row r="244" s="7" customFormat="1" ht="14.25" customHeight="1" x14ac:dyDescent="0.3"/>
    <row r="245" s="7" customFormat="1" ht="14.25" customHeight="1" x14ac:dyDescent="0.3"/>
    <row r="246" s="7" customFormat="1" ht="14.25" customHeight="1" x14ac:dyDescent="0.3"/>
    <row r="247" s="7" customFormat="1" ht="14.25" customHeight="1" x14ac:dyDescent="0.3"/>
    <row r="248" s="7" customFormat="1" ht="14.25" customHeight="1" x14ac:dyDescent="0.3"/>
    <row r="249" s="7" customFormat="1" ht="14.25" customHeight="1" x14ac:dyDescent="0.3"/>
    <row r="250" s="7" customFormat="1" ht="14.25" customHeight="1" x14ac:dyDescent="0.3"/>
    <row r="251" s="7" customFormat="1" ht="14.25" customHeight="1" x14ac:dyDescent="0.3"/>
    <row r="252" s="7" customFormat="1" ht="14.25" customHeight="1" x14ac:dyDescent="0.3"/>
    <row r="253" s="7" customFormat="1" ht="14.25" customHeight="1" x14ac:dyDescent="0.3"/>
    <row r="254" s="7" customFormat="1" ht="14.25" customHeight="1" x14ac:dyDescent="0.3"/>
    <row r="255" s="7" customFormat="1" ht="14.25" customHeight="1" x14ac:dyDescent="0.3"/>
    <row r="256" s="7" customFormat="1" ht="14.25" customHeight="1" x14ac:dyDescent="0.3"/>
    <row r="257" s="7" customFormat="1" ht="14.25" customHeight="1" x14ac:dyDescent="0.3"/>
    <row r="258" s="7" customFormat="1" ht="14.25" customHeight="1" x14ac:dyDescent="0.3"/>
    <row r="259" s="7" customFormat="1" ht="14.25" customHeight="1" x14ac:dyDescent="0.3"/>
    <row r="260" s="7" customFormat="1" ht="14.25" customHeight="1" x14ac:dyDescent="0.3"/>
    <row r="261" s="7" customFormat="1" ht="14.25" customHeight="1" x14ac:dyDescent="0.3"/>
    <row r="262" s="7" customFormat="1" ht="14.25" customHeight="1" x14ac:dyDescent="0.3"/>
    <row r="263" s="7" customFormat="1" ht="14.25" customHeight="1" x14ac:dyDescent="0.3"/>
    <row r="264" s="7" customFormat="1" ht="14.25" customHeight="1" x14ac:dyDescent="0.3"/>
    <row r="265" s="7" customFormat="1" ht="14.25" customHeight="1" x14ac:dyDescent="0.3"/>
    <row r="266" s="7" customFormat="1" ht="14.25" customHeight="1" x14ac:dyDescent="0.3"/>
    <row r="267" s="7" customFormat="1" ht="14.25" customHeight="1" x14ac:dyDescent="0.3"/>
    <row r="268" s="7" customFormat="1" ht="14.25" customHeight="1" x14ac:dyDescent="0.3"/>
    <row r="269" s="7" customFormat="1" ht="14.25" customHeight="1" x14ac:dyDescent="0.3"/>
    <row r="270" s="7" customFormat="1" ht="14.25" customHeight="1" x14ac:dyDescent="0.3"/>
    <row r="271" s="7" customFormat="1" ht="14.25" customHeight="1" x14ac:dyDescent="0.3"/>
    <row r="272" s="7" customFormat="1" ht="14.25" customHeight="1" x14ac:dyDescent="0.3"/>
    <row r="273" s="7" customFormat="1" ht="14.25" customHeight="1" x14ac:dyDescent="0.3"/>
    <row r="274" s="7" customFormat="1" ht="14.25" customHeight="1" x14ac:dyDescent="0.3"/>
    <row r="275" s="7" customFormat="1" ht="14.25" customHeight="1" x14ac:dyDescent="0.3"/>
    <row r="276" s="7" customFormat="1" ht="14.25" customHeight="1" x14ac:dyDescent="0.3"/>
    <row r="277" s="7" customFormat="1" ht="14.25" customHeight="1" x14ac:dyDescent="0.3"/>
    <row r="278" s="7" customFormat="1" ht="14.25" customHeight="1" x14ac:dyDescent="0.3"/>
    <row r="279" s="7" customFormat="1" ht="14.25" customHeight="1" x14ac:dyDescent="0.3"/>
    <row r="280" s="7" customFormat="1" ht="14.25" customHeight="1" x14ac:dyDescent="0.3"/>
    <row r="281" s="7" customFormat="1" ht="14.25" customHeight="1" x14ac:dyDescent="0.3"/>
    <row r="282" s="7" customFormat="1" ht="14.25" customHeight="1" x14ac:dyDescent="0.3"/>
    <row r="283" s="7" customFormat="1" ht="14.25" customHeight="1" x14ac:dyDescent="0.3"/>
    <row r="284" s="7" customFormat="1" ht="14.25" customHeight="1" x14ac:dyDescent="0.3"/>
    <row r="285" s="7" customFormat="1" ht="14.25" customHeight="1" x14ac:dyDescent="0.3"/>
    <row r="286" s="7" customFormat="1" ht="14.25" customHeight="1" x14ac:dyDescent="0.3"/>
    <row r="287" s="7" customFormat="1" ht="14.25" customHeight="1" x14ac:dyDescent="0.3"/>
    <row r="288" s="7" customFormat="1" ht="14.25" customHeight="1" x14ac:dyDescent="0.3"/>
    <row r="289" s="7" customFormat="1" ht="14.25" customHeight="1" x14ac:dyDescent="0.3"/>
    <row r="290" s="7" customFormat="1" ht="14.25" customHeight="1" x14ac:dyDescent="0.3"/>
    <row r="291" s="7" customFormat="1" ht="14.25" customHeight="1" x14ac:dyDescent="0.3"/>
    <row r="292" s="7" customFormat="1" ht="14.25" customHeight="1" x14ac:dyDescent="0.3"/>
    <row r="293" s="7" customFormat="1" ht="14.25" customHeight="1" x14ac:dyDescent="0.3"/>
    <row r="294" s="7" customFormat="1" ht="14.25" customHeight="1" x14ac:dyDescent="0.3"/>
    <row r="295" s="7" customFormat="1" ht="14.25" customHeight="1" x14ac:dyDescent="0.3"/>
    <row r="296" s="7" customFormat="1" ht="14.25" customHeight="1" x14ac:dyDescent="0.3"/>
    <row r="297" s="7" customFormat="1" ht="14.25" customHeight="1" x14ac:dyDescent="0.3"/>
    <row r="298" s="7" customFormat="1" ht="14.25" customHeight="1" x14ac:dyDescent="0.3"/>
    <row r="299" s="7" customFormat="1" ht="14.25" customHeight="1" x14ac:dyDescent="0.3"/>
    <row r="300" s="7" customFormat="1" ht="14.25" customHeight="1" x14ac:dyDescent="0.3"/>
    <row r="301" s="7" customFormat="1" ht="14.25" customHeight="1" x14ac:dyDescent="0.3"/>
    <row r="302" s="7" customFormat="1" ht="14.25" customHeight="1" x14ac:dyDescent="0.3"/>
    <row r="303" s="7" customFormat="1" ht="14.25" customHeight="1" x14ac:dyDescent="0.3"/>
    <row r="304" s="7" customFormat="1" ht="14.25" customHeight="1" x14ac:dyDescent="0.3"/>
    <row r="305" s="7" customFormat="1" ht="14.25" customHeight="1" x14ac:dyDescent="0.3"/>
    <row r="306" s="7" customFormat="1" ht="14.25" customHeight="1" x14ac:dyDescent="0.3"/>
    <row r="307" s="7" customFormat="1" ht="14.25" customHeight="1" x14ac:dyDescent="0.3"/>
    <row r="308" s="7" customFormat="1" ht="14.25" customHeight="1" x14ac:dyDescent="0.3"/>
    <row r="309" s="7" customFormat="1" ht="14.25" customHeight="1" x14ac:dyDescent="0.3"/>
    <row r="310" s="7" customFormat="1" ht="14.25" customHeight="1" x14ac:dyDescent="0.3"/>
    <row r="311" s="7" customFormat="1" ht="14.25" customHeight="1" x14ac:dyDescent="0.3"/>
    <row r="312" s="7" customFormat="1" ht="14.25" customHeight="1" x14ac:dyDescent="0.3"/>
    <row r="313" s="7" customFormat="1" ht="14.25" customHeight="1" x14ac:dyDescent="0.3"/>
    <row r="314" s="7" customFormat="1" ht="14.25" customHeight="1" x14ac:dyDescent="0.3"/>
    <row r="315" s="7" customFormat="1" ht="14.25" customHeight="1" x14ac:dyDescent="0.3"/>
    <row r="316" s="7" customFormat="1" ht="14.25" customHeight="1" x14ac:dyDescent="0.3"/>
    <row r="317" s="7" customFormat="1" ht="14.25" customHeight="1" x14ac:dyDescent="0.3"/>
    <row r="318" s="7" customFormat="1" ht="14.25" customHeight="1" x14ac:dyDescent="0.3"/>
    <row r="319" s="7" customFormat="1" ht="14.25" customHeight="1" x14ac:dyDescent="0.3"/>
    <row r="320" s="7" customFormat="1" ht="14.25" customHeight="1" x14ac:dyDescent="0.3"/>
    <row r="321" s="7" customFormat="1" ht="14.25" customHeight="1" x14ac:dyDescent="0.3"/>
    <row r="322" s="7" customFormat="1" ht="14.25" customHeight="1" x14ac:dyDescent="0.3"/>
    <row r="323" s="7" customFormat="1" ht="14.25" customHeight="1" x14ac:dyDescent="0.3"/>
    <row r="324" s="7" customFormat="1" ht="14.25" customHeight="1" x14ac:dyDescent="0.3"/>
    <row r="325" s="7" customFormat="1" ht="14.25" customHeight="1" x14ac:dyDescent="0.3"/>
    <row r="326" s="7" customFormat="1" ht="14.25" customHeight="1" x14ac:dyDescent="0.3"/>
    <row r="327" s="7" customFormat="1" ht="14.25" customHeight="1" x14ac:dyDescent="0.3"/>
    <row r="328" s="7" customFormat="1" ht="14.25" customHeight="1" x14ac:dyDescent="0.3"/>
    <row r="329" s="7" customFormat="1" ht="14.25" customHeight="1" x14ac:dyDescent="0.3"/>
    <row r="330" s="7" customFormat="1" ht="14.25" customHeight="1" x14ac:dyDescent="0.3"/>
    <row r="331" s="7" customFormat="1" ht="14.25" customHeight="1" x14ac:dyDescent="0.3"/>
    <row r="332" s="7" customFormat="1" ht="14.25" customHeight="1" x14ac:dyDescent="0.3"/>
    <row r="333" s="7" customFormat="1" ht="14.25" customHeight="1" x14ac:dyDescent="0.3"/>
    <row r="334" s="7" customFormat="1" ht="14.25" customHeight="1" x14ac:dyDescent="0.3"/>
    <row r="335" s="7" customFormat="1" ht="14.25" customHeight="1" x14ac:dyDescent="0.3"/>
    <row r="336" s="7" customFormat="1" ht="14.25" customHeight="1" x14ac:dyDescent="0.3"/>
    <row r="337" s="7" customFormat="1" ht="14.25" customHeight="1" x14ac:dyDescent="0.3"/>
    <row r="338" s="7" customFormat="1" ht="14.25" customHeight="1" x14ac:dyDescent="0.3"/>
    <row r="339" s="7" customFormat="1" ht="14.25" customHeight="1" x14ac:dyDescent="0.3"/>
    <row r="340" s="7" customFormat="1" ht="14.25" customHeight="1" x14ac:dyDescent="0.3"/>
    <row r="341" s="7" customFormat="1" ht="14.25" customHeight="1" x14ac:dyDescent="0.3"/>
    <row r="342" s="7" customFormat="1" ht="14.25" customHeight="1" x14ac:dyDescent="0.3"/>
    <row r="343" s="7" customFormat="1" ht="14.25" customHeight="1" x14ac:dyDescent="0.3"/>
    <row r="344" s="7" customFormat="1" ht="14.25" customHeight="1" x14ac:dyDescent="0.3"/>
    <row r="345" s="7" customFormat="1" ht="14.25" customHeight="1" x14ac:dyDescent="0.3"/>
    <row r="346" s="7" customFormat="1" ht="14.25" customHeight="1" x14ac:dyDescent="0.3"/>
    <row r="347" s="7" customFormat="1" ht="14.25" customHeight="1" x14ac:dyDescent="0.3"/>
    <row r="348" s="7" customFormat="1" ht="14.25" customHeight="1" x14ac:dyDescent="0.3"/>
    <row r="349" s="7" customFormat="1" ht="14.25" customHeight="1" x14ac:dyDescent="0.3"/>
    <row r="350" s="7" customFormat="1" ht="14.25" customHeight="1" x14ac:dyDescent="0.3"/>
    <row r="351" s="7" customFormat="1" ht="14.25" customHeight="1" x14ac:dyDescent="0.3"/>
    <row r="352" s="7" customFormat="1" ht="14.25" customHeight="1" x14ac:dyDescent="0.3"/>
    <row r="353" s="7" customFormat="1" ht="14.25" customHeight="1" x14ac:dyDescent="0.3"/>
    <row r="354" s="7" customFormat="1" ht="14.25" customHeight="1" x14ac:dyDescent="0.3"/>
    <row r="355" s="7" customFormat="1" ht="14.25" customHeight="1" x14ac:dyDescent="0.3"/>
    <row r="356" s="7" customFormat="1" ht="14.25" customHeight="1" x14ac:dyDescent="0.3"/>
    <row r="357" s="7" customFormat="1" ht="14.25" customHeight="1" x14ac:dyDescent="0.3"/>
    <row r="358" s="7" customFormat="1" ht="14.25" customHeight="1" x14ac:dyDescent="0.3"/>
    <row r="359" s="7" customFormat="1" ht="14.25" customHeight="1" x14ac:dyDescent="0.3"/>
    <row r="360" s="7" customFormat="1" ht="14.25" customHeight="1" x14ac:dyDescent="0.3"/>
    <row r="361" s="7" customFormat="1" ht="14.25" customHeight="1" x14ac:dyDescent="0.3"/>
    <row r="362" s="7" customFormat="1" ht="14.25" customHeight="1" x14ac:dyDescent="0.3"/>
    <row r="363" s="7" customFormat="1" ht="14.25" customHeight="1" x14ac:dyDescent="0.3"/>
    <row r="364" s="7" customFormat="1" ht="14.25" customHeight="1" x14ac:dyDescent="0.3"/>
    <row r="365" s="7" customFormat="1" ht="14.25" customHeight="1" x14ac:dyDescent="0.3"/>
    <row r="366" s="7" customFormat="1" ht="14.25" customHeight="1" x14ac:dyDescent="0.3"/>
    <row r="367" s="7" customFormat="1" ht="14.25" customHeight="1" x14ac:dyDescent="0.3"/>
    <row r="368" s="7" customFormat="1" ht="14.25" customHeight="1" x14ac:dyDescent="0.3"/>
    <row r="369" s="7" customFormat="1" ht="14.25" customHeight="1" x14ac:dyDescent="0.3"/>
    <row r="370" s="7" customFormat="1" ht="14.25" customHeight="1" x14ac:dyDescent="0.3"/>
    <row r="371" s="7" customFormat="1" ht="14.25" customHeight="1" x14ac:dyDescent="0.3"/>
    <row r="372" s="7" customFormat="1" ht="14.25" customHeight="1" x14ac:dyDescent="0.3"/>
    <row r="373" s="7" customFormat="1" ht="14.25" customHeight="1" x14ac:dyDescent="0.3"/>
    <row r="374" s="7" customFormat="1" ht="14.25" customHeight="1" x14ac:dyDescent="0.3"/>
    <row r="375" s="7" customFormat="1" ht="14.25" customHeight="1" x14ac:dyDescent="0.3"/>
    <row r="376" s="7" customFormat="1" ht="14.25" customHeight="1" x14ac:dyDescent="0.3"/>
    <row r="377" s="7" customFormat="1" ht="14.25" customHeight="1" x14ac:dyDescent="0.3"/>
    <row r="378" s="7" customFormat="1" ht="14.25" customHeight="1" x14ac:dyDescent="0.3"/>
    <row r="379" s="7" customFormat="1" ht="14.25" customHeight="1" x14ac:dyDescent="0.3"/>
    <row r="380" s="7" customFormat="1" ht="14.25" customHeight="1" x14ac:dyDescent="0.3"/>
    <row r="381" s="7" customFormat="1" ht="14.25" customHeight="1" x14ac:dyDescent="0.3"/>
    <row r="382" s="7" customFormat="1" ht="14.25" customHeight="1" x14ac:dyDescent="0.3"/>
    <row r="383" s="7" customFormat="1" ht="14.25" customHeight="1" x14ac:dyDescent="0.3"/>
    <row r="384" s="7" customFormat="1" ht="14.25" customHeight="1" x14ac:dyDescent="0.3"/>
    <row r="385" s="7" customFormat="1" ht="14.25" customHeight="1" x14ac:dyDescent="0.3"/>
    <row r="386" s="7" customFormat="1" ht="14.25" customHeight="1" x14ac:dyDescent="0.3"/>
    <row r="387" s="7" customFormat="1" ht="14.25" customHeight="1" x14ac:dyDescent="0.3"/>
    <row r="388" s="7" customFormat="1" ht="14.25" customHeight="1" x14ac:dyDescent="0.3"/>
    <row r="389" s="7" customFormat="1" ht="14.25" customHeight="1" x14ac:dyDescent="0.3"/>
    <row r="390" s="7" customFormat="1" ht="14.25" customHeight="1" x14ac:dyDescent="0.3"/>
    <row r="391" s="7" customFormat="1" ht="14.25" customHeight="1" x14ac:dyDescent="0.3"/>
    <row r="392" s="7" customFormat="1" ht="14.25" customHeight="1" x14ac:dyDescent="0.3"/>
    <row r="393" s="7" customFormat="1" ht="14.25" customHeight="1" x14ac:dyDescent="0.3"/>
    <row r="394" s="7" customFormat="1" ht="14.25" customHeight="1" x14ac:dyDescent="0.3"/>
    <row r="395" s="7" customFormat="1" ht="14.25" customHeight="1" x14ac:dyDescent="0.3"/>
    <row r="396" s="7" customFormat="1" ht="14.25" customHeight="1" x14ac:dyDescent="0.3"/>
    <row r="397" s="7" customFormat="1" ht="14.25" customHeight="1" x14ac:dyDescent="0.3"/>
    <row r="398" s="7" customFormat="1" ht="14.25" customHeight="1" x14ac:dyDescent="0.3"/>
    <row r="399" s="7" customFormat="1" ht="14.25" customHeight="1" x14ac:dyDescent="0.3"/>
    <row r="400" s="7" customFormat="1" ht="14.25" customHeight="1" x14ac:dyDescent="0.3"/>
    <row r="401" s="7" customFormat="1" ht="14.25" customHeight="1" x14ac:dyDescent="0.3"/>
    <row r="402" s="7" customFormat="1" ht="14.25" customHeight="1" x14ac:dyDescent="0.3"/>
    <row r="403" s="7" customFormat="1" ht="14.25" customHeight="1" x14ac:dyDescent="0.3"/>
    <row r="404" s="7" customFormat="1" ht="14.25" customHeight="1" x14ac:dyDescent="0.3"/>
    <row r="405" s="7" customFormat="1" ht="14.25" customHeight="1" x14ac:dyDescent="0.3"/>
    <row r="406" s="7" customFormat="1" ht="14.25" customHeight="1" x14ac:dyDescent="0.3"/>
    <row r="407" s="7" customFormat="1" ht="14.25" customHeight="1" x14ac:dyDescent="0.3"/>
    <row r="408" s="7" customFormat="1" ht="14.25" customHeight="1" x14ac:dyDescent="0.3"/>
    <row r="409" s="7" customFormat="1" ht="14.25" customHeight="1" x14ac:dyDescent="0.3"/>
    <row r="410" s="7" customFormat="1" ht="14.25" customHeight="1" x14ac:dyDescent="0.3"/>
    <row r="411" s="7" customFormat="1" ht="14.25" customHeight="1" x14ac:dyDescent="0.3"/>
    <row r="412" s="7" customFormat="1" ht="14.25" customHeight="1" x14ac:dyDescent="0.3"/>
    <row r="413" s="7" customFormat="1" ht="14.25" customHeight="1" x14ac:dyDescent="0.3"/>
    <row r="414" s="7" customFormat="1" ht="14.25" customHeight="1" x14ac:dyDescent="0.3"/>
    <row r="415" s="7" customFormat="1" ht="14.25" customHeight="1" x14ac:dyDescent="0.3"/>
    <row r="416" s="7" customFormat="1" ht="14.25" customHeight="1" x14ac:dyDescent="0.3"/>
    <row r="417" s="7" customFormat="1" ht="14.25" customHeight="1" x14ac:dyDescent="0.3"/>
    <row r="418" s="7" customFormat="1" ht="14.25" customHeight="1" x14ac:dyDescent="0.3"/>
    <row r="419" s="7" customFormat="1" ht="14.25" customHeight="1" x14ac:dyDescent="0.3"/>
    <row r="420" s="7" customFormat="1" ht="14.25" customHeight="1" x14ac:dyDescent="0.3"/>
    <row r="421" s="7" customFormat="1" ht="14.25" customHeight="1" x14ac:dyDescent="0.3"/>
    <row r="422" s="7" customFormat="1" ht="14.25" customHeight="1" x14ac:dyDescent="0.3"/>
    <row r="423" s="7" customFormat="1" ht="14.25" customHeight="1" x14ac:dyDescent="0.3"/>
    <row r="424" s="7" customFormat="1" ht="14.25" customHeight="1" x14ac:dyDescent="0.3"/>
    <row r="425" s="7" customFormat="1" ht="14.25" customHeight="1" x14ac:dyDescent="0.3"/>
    <row r="426" s="7" customFormat="1" ht="14.25" customHeight="1" x14ac:dyDescent="0.3"/>
    <row r="427" s="7" customFormat="1" ht="14.25" customHeight="1" x14ac:dyDescent="0.3"/>
    <row r="428" s="7" customFormat="1" ht="14.25" customHeight="1" x14ac:dyDescent="0.3"/>
    <row r="429" s="7" customFormat="1" ht="14.25" customHeight="1" x14ac:dyDescent="0.3"/>
    <row r="430" s="7" customFormat="1" ht="14.25" customHeight="1" x14ac:dyDescent="0.3"/>
    <row r="431" s="7" customFormat="1" ht="14.25" customHeight="1" x14ac:dyDescent="0.3"/>
    <row r="432" s="7" customFormat="1" ht="14.25" customHeight="1" x14ac:dyDescent="0.3"/>
    <row r="433" s="7" customFormat="1" ht="14.25" customHeight="1" x14ac:dyDescent="0.3"/>
    <row r="434" s="7" customFormat="1" ht="14.25" customHeight="1" x14ac:dyDescent="0.3"/>
    <row r="435" s="7" customFormat="1" ht="14.25" customHeight="1" x14ac:dyDescent="0.3"/>
    <row r="436" s="7" customFormat="1" ht="14.25" customHeight="1" x14ac:dyDescent="0.3"/>
    <row r="437" s="7" customFormat="1" ht="14.25" customHeight="1" x14ac:dyDescent="0.3"/>
    <row r="438" s="7" customFormat="1" ht="14.25" customHeight="1" x14ac:dyDescent="0.3"/>
    <row r="439" s="7" customFormat="1" ht="14.25" customHeight="1" x14ac:dyDescent="0.3"/>
    <row r="440" s="7" customFormat="1" ht="14.25" customHeight="1" x14ac:dyDescent="0.3"/>
    <row r="441" s="7" customFormat="1" ht="14.25" customHeight="1" x14ac:dyDescent="0.3"/>
    <row r="442" s="7" customFormat="1" ht="14.25" customHeight="1" x14ac:dyDescent="0.3"/>
    <row r="443" s="7" customFormat="1" ht="14.25" customHeight="1" x14ac:dyDescent="0.3"/>
    <row r="444" s="7" customFormat="1" ht="14.25" customHeight="1" x14ac:dyDescent="0.3"/>
    <row r="445" s="7" customFormat="1" ht="14.25" customHeight="1" x14ac:dyDescent="0.3"/>
    <row r="446" s="7" customFormat="1" ht="14.25" customHeight="1" x14ac:dyDescent="0.3"/>
    <row r="447" s="7" customFormat="1" ht="14.25" customHeight="1" x14ac:dyDescent="0.3"/>
    <row r="448" s="7" customFormat="1" ht="14.25" customHeight="1" x14ac:dyDescent="0.3"/>
    <row r="449" s="7" customFormat="1" ht="14.25" customHeight="1" x14ac:dyDescent="0.3"/>
    <row r="450" s="7" customFormat="1" ht="14.25" customHeight="1" x14ac:dyDescent="0.3"/>
    <row r="451" s="7" customFormat="1" ht="14.25" customHeight="1" x14ac:dyDescent="0.3"/>
    <row r="452" s="7" customFormat="1" ht="14.25" customHeight="1" x14ac:dyDescent="0.3"/>
    <row r="453" s="7" customFormat="1" ht="14.25" customHeight="1" x14ac:dyDescent="0.3"/>
    <row r="454" s="7" customFormat="1" ht="14.25" customHeight="1" x14ac:dyDescent="0.3"/>
    <row r="455" s="7" customFormat="1" ht="14.25" customHeight="1" x14ac:dyDescent="0.3"/>
    <row r="456" s="7" customFormat="1" ht="14.25" customHeight="1" x14ac:dyDescent="0.3"/>
    <row r="457" s="7" customFormat="1" ht="14.25" customHeight="1" x14ac:dyDescent="0.3"/>
    <row r="458" s="7" customFormat="1" ht="14.25" customHeight="1" x14ac:dyDescent="0.3"/>
    <row r="459" s="7" customFormat="1" ht="14.25" customHeight="1" x14ac:dyDescent="0.3"/>
    <row r="460" s="7" customFormat="1" ht="14.25" customHeight="1" x14ac:dyDescent="0.3"/>
    <row r="461" s="7" customFormat="1" ht="14.25" customHeight="1" x14ac:dyDescent="0.3"/>
    <row r="462" s="7" customFormat="1" ht="14.25" customHeight="1" x14ac:dyDescent="0.3"/>
    <row r="463" s="7" customFormat="1" ht="14.25" customHeight="1" x14ac:dyDescent="0.3"/>
    <row r="464" s="7" customFormat="1" ht="14.25" customHeight="1" x14ac:dyDescent="0.3"/>
    <row r="465" s="7" customFormat="1" ht="14.25" customHeight="1" x14ac:dyDescent="0.3"/>
    <row r="466" s="7" customFormat="1" ht="14.25" customHeight="1" x14ac:dyDescent="0.3"/>
    <row r="467" s="7" customFormat="1" ht="14.25" customHeight="1" x14ac:dyDescent="0.3"/>
    <row r="468" s="7" customFormat="1" ht="14.25" customHeight="1" x14ac:dyDescent="0.3"/>
    <row r="469" s="7" customFormat="1" ht="14.25" customHeight="1" x14ac:dyDescent="0.3"/>
    <row r="470" s="7" customFormat="1" ht="14.25" customHeight="1" x14ac:dyDescent="0.3"/>
    <row r="471" s="7" customFormat="1" ht="14.25" customHeight="1" x14ac:dyDescent="0.3"/>
    <row r="472" s="7" customFormat="1" ht="14.25" customHeight="1" x14ac:dyDescent="0.3"/>
    <row r="473" s="7" customFormat="1" ht="14.25" customHeight="1" x14ac:dyDescent="0.3"/>
    <row r="474" s="7" customFormat="1" ht="14.25" customHeight="1" x14ac:dyDescent="0.3"/>
    <row r="475" s="7" customFormat="1" ht="14.25" customHeight="1" x14ac:dyDescent="0.3"/>
    <row r="476" s="7" customFormat="1" ht="14.25" customHeight="1" x14ac:dyDescent="0.3"/>
    <row r="477" s="7" customFormat="1" ht="14.25" customHeight="1" x14ac:dyDescent="0.3"/>
    <row r="478" s="7" customFormat="1" ht="14.25" customHeight="1" x14ac:dyDescent="0.3"/>
    <row r="479" s="7" customFormat="1" ht="14.25" customHeight="1" x14ac:dyDescent="0.3"/>
    <row r="480" s="7" customFormat="1" ht="14.25" customHeight="1" x14ac:dyDescent="0.3"/>
    <row r="481" s="7" customFormat="1" ht="14.25" customHeight="1" x14ac:dyDescent="0.3"/>
    <row r="482" s="7" customFormat="1" ht="14.25" customHeight="1" x14ac:dyDescent="0.3"/>
    <row r="483" s="7" customFormat="1" ht="14.25" customHeight="1" x14ac:dyDescent="0.3"/>
    <row r="484" s="7" customFormat="1" ht="14.25" customHeight="1" x14ac:dyDescent="0.3"/>
    <row r="485" s="7" customFormat="1" ht="14.25" customHeight="1" x14ac:dyDescent="0.3"/>
    <row r="486" s="7" customFormat="1" ht="14.25" customHeight="1" x14ac:dyDescent="0.3"/>
    <row r="487" s="7" customFormat="1" ht="14.25" customHeight="1" x14ac:dyDescent="0.3"/>
    <row r="488" s="7" customFormat="1" ht="14.25" customHeight="1" x14ac:dyDescent="0.3"/>
    <row r="489" s="7" customFormat="1" ht="14.25" customHeight="1" x14ac:dyDescent="0.3"/>
    <row r="490" s="7" customFormat="1" ht="14.25" customHeight="1" x14ac:dyDescent="0.3"/>
    <row r="491" s="7" customFormat="1" ht="14.25" customHeight="1" x14ac:dyDescent="0.3"/>
    <row r="492" s="7" customFormat="1" ht="14.25" customHeight="1" x14ac:dyDescent="0.3"/>
    <row r="493" s="7" customFormat="1" ht="14.25" customHeight="1" x14ac:dyDescent="0.3"/>
    <row r="494" s="7" customFormat="1" ht="14.25" customHeight="1" x14ac:dyDescent="0.3"/>
    <row r="495" s="7" customFormat="1" ht="14.25" customHeight="1" x14ac:dyDescent="0.3"/>
    <row r="496" s="7" customFormat="1" ht="14.25" customHeight="1" x14ac:dyDescent="0.3"/>
    <row r="497" s="7" customFormat="1" ht="14.25" customHeight="1" x14ac:dyDescent="0.3"/>
    <row r="498" s="7" customFormat="1" ht="14.25" customHeight="1" x14ac:dyDescent="0.3"/>
    <row r="499" s="7" customFormat="1" ht="14.25" customHeight="1" x14ac:dyDescent="0.3"/>
    <row r="500" s="7" customFormat="1" ht="14.25" customHeight="1" x14ac:dyDescent="0.3"/>
    <row r="501" s="7" customFormat="1" ht="14.25" customHeight="1" x14ac:dyDescent="0.3"/>
    <row r="502" s="7" customFormat="1" ht="14.25" customHeight="1" x14ac:dyDescent="0.3"/>
    <row r="503" s="7" customFormat="1" ht="14.25" customHeight="1" x14ac:dyDescent="0.3"/>
    <row r="504" s="7" customFormat="1" ht="14.25" customHeight="1" x14ac:dyDescent="0.3"/>
    <row r="505" s="7" customFormat="1" ht="14.25" customHeight="1" x14ac:dyDescent="0.3"/>
    <row r="506" s="7" customFormat="1" ht="14.25" customHeight="1" x14ac:dyDescent="0.3"/>
    <row r="507" s="7" customFormat="1" ht="14.25" customHeight="1" x14ac:dyDescent="0.3"/>
    <row r="508" s="7" customFormat="1" ht="14.25" customHeight="1" x14ac:dyDescent="0.3"/>
    <row r="509" s="7" customFormat="1" ht="14.25" customHeight="1" x14ac:dyDescent="0.3"/>
    <row r="510" s="7" customFormat="1" ht="14.25" customHeight="1" x14ac:dyDescent="0.3"/>
    <row r="511" s="7" customFormat="1" ht="14.25" customHeight="1" x14ac:dyDescent="0.3"/>
    <row r="512" s="7" customFormat="1" ht="14.25" customHeight="1" x14ac:dyDescent="0.3"/>
    <row r="513" s="7" customFormat="1" ht="14.25" customHeight="1" x14ac:dyDescent="0.3"/>
    <row r="514" s="7" customFormat="1" ht="14.25" customHeight="1" x14ac:dyDescent="0.3"/>
    <row r="515" s="7" customFormat="1" ht="14.25" customHeight="1" x14ac:dyDescent="0.3"/>
    <row r="516" s="7" customFormat="1" ht="14.25" customHeight="1" x14ac:dyDescent="0.3"/>
    <row r="517" s="7" customFormat="1" ht="14.25" customHeight="1" x14ac:dyDescent="0.3"/>
    <row r="518" s="7" customFormat="1" ht="14.25" customHeight="1" x14ac:dyDescent="0.3"/>
    <row r="519" s="7" customFormat="1" ht="14.25" customHeight="1" x14ac:dyDescent="0.3"/>
    <row r="520" s="7" customFormat="1" ht="14.25" customHeight="1" x14ac:dyDescent="0.3"/>
    <row r="521" s="7" customFormat="1" ht="14.25" customHeight="1" x14ac:dyDescent="0.3"/>
    <row r="522" s="7" customFormat="1" ht="14.25" customHeight="1" x14ac:dyDescent="0.3"/>
    <row r="523" s="7" customFormat="1" ht="14.25" customHeight="1" x14ac:dyDescent="0.3"/>
    <row r="524" s="7" customFormat="1" ht="14.25" customHeight="1" x14ac:dyDescent="0.3"/>
    <row r="525" s="7" customFormat="1" ht="14.25" customHeight="1" x14ac:dyDescent="0.3"/>
    <row r="526" s="7" customFormat="1" ht="14.25" customHeight="1" x14ac:dyDescent="0.3"/>
    <row r="527" s="7" customFormat="1" ht="14.25" customHeight="1" x14ac:dyDescent="0.3"/>
    <row r="528" s="7" customFormat="1" ht="14.25" customHeight="1" x14ac:dyDescent="0.3"/>
    <row r="529" s="7" customFormat="1" ht="14.25" customHeight="1" x14ac:dyDescent="0.3"/>
    <row r="530" s="7" customFormat="1" ht="14.25" customHeight="1" x14ac:dyDescent="0.3"/>
    <row r="531" s="7" customFormat="1" ht="14.25" customHeight="1" x14ac:dyDescent="0.3"/>
    <row r="532" s="7" customFormat="1" ht="14.25" customHeight="1" x14ac:dyDescent="0.3"/>
    <row r="533" s="7" customFormat="1" ht="14.25" customHeight="1" x14ac:dyDescent="0.3"/>
    <row r="534" s="7" customFormat="1" ht="14.25" customHeight="1" x14ac:dyDescent="0.3"/>
    <row r="535" s="7" customFormat="1" ht="14.25" customHeight="1" x14ac:dyDescent="0.3"/>
    <row r="536" s="7" customFormat="1" ht="14.25" customHeight="1" x14ac:dyDescent="0.3"/>
    <row r="537" s="7" customFormat="1" ht="14.25" customHeight="1" x14ac:dyDescent="0.3"/>
    <row r="538" s="7" customFormat="1" ht="14.25" customHeight="1" x14ac:dyDescent="0.3"/>
    <row r="539" s="7" customFormat="1" ht="14.25" customHeight="1" x14ac:dyDescent="0.3"/>
    <row r="540" s="7" customFormat="1" ht="14.25" customHeight="1" x14ac:dyDescent="0.3"/>
    <row r="541" s="7" customFormat="1" ht="14.25" customHeight="1" x14ac:dyDescent="0.3"/>
    <row r="542" s="7" customFormat="1" ht="14.25" customHeight="1" x14ac:dyDescent="0.3"/>
    <row r="543" s="7" customFormat="1" ht="14.25" customHeight="1" x14ac:dyDescent="0.3"/>
    <row r="544" s="7" customFormat="1" ht="14.25" customHeight="1" x14ac:dyDescent="0.3"/>
    <row r="545" s="7" customFormat="1" ht="14.25" customHeight="1" x14ac:dyDescent="0.3"/>
    <row r="546" s="7" customFormat="1" ht="14.25" customHeight="1" x14ac:dyDescent="0.3"/>
    <row r="547" s="7" customFormat="1" ht="14.25" customHeight="1" x14ac:dyDescent="0.3"/>
    <row r="548" s="7" customFormat="1" ht="14.25" customHeight="1" x14ac:dyDescent="0.3"/>
    <row r="549" s="7" customFormat="1" ht="14.25" customHeight="1" x14ac:dyDescent="0.3"/>
    <row r="550" s="7" customFormat="1" ht="14.25" customHeight="1" x14ac:dyDescent="0.3"/>
    <row r="551" s="7" customFormat="1" ht="14.25" customHeight="1" x14ac:dyDescent="0.3"/>
    <row r="552" s="7" customFormat="1" ht="14.25" customHeight="1" x14ac:dyDescent="0.3"/>
    <row r="553" s="7" customFormat="1" ht="14.25" customHeight="1" x14ac:dyDescent="0.3"/>
    <row r="554" s="7" customFormat="1" ht="14.25" customHeight="1" x14ac:dyDescent="0.3"/>
    <row r="555" s="7" customFormat="1" ht="14.25" customHeight="1" x14ac:dyDescent="0.3"/>
    <row r="556" s="7" customFormat="1" ht="14.25" customHeight="1" x14ac:dyDescent="0.3"/>
    <row r="557" s="7" customFormat="1" ht="14.25" customHeight="1" x14ac:dyDescent="0.3"/>
    <row r="558" s="7" customFormat="1" ht="14.25" customHeight="1" x14ac:dyDescent="0.3"/>
    <row r="559" s="7" customFormat="1" ht="14.25" customHeight="1" x14ac:dyDescent="0.3"/>
    <row r="560" s="7" customFormat="1" ht="14.25" customHeight="1" x14ac:dyDescent="0.3"/>
    <row r="561" s="7" customFormat="1" ht="14.25" customHeight="1" x14ac:dyDescent="0.3"/>
    <row r="562" s="7" customFormat="1" ht="14.25" customHeight="1" x14ac:dyDescent="0.3"/>
    <row r="563" s="7" customFormat="1" ht="14.25" customHeight="1" x14ac:dyDescent="0.3"/>
    <row r="564" s="7" customFormat="1" ht="14.25" customHeight="1" x14ac:dyDescent="0.3"/>
    <row r="565" s="7" customFormat="1" ht="14.25" customHeight="1" x14ac:dyDescent="0.3"/>
    <row r="566" s="7" customFormat="1" ht="14.25" customHeight="1" x14ac:dyDescent="0.3"/>
    <row r="567" s="7" customFormat="1" ht="14.25" customHeight="1" x14ac:dyDescent="0.3"/>
    <row r="568" s="7" customFormat="1" ht="14.25" customHeight="1" x14ac:dyDescent="0.3"/>
    <row r="569" s="7" customFormat="1" ht="14.25" customHeight="1" x14ac:dyDescent="0.3"/>
    <row r="570" s="7" customFormat="1" ht="14.25" customHeight="1" x14ac:dyDescent="0.3"/>
    <row r="571" s="7" customFormat="1" ht="14.25" customHeight="1" x14ac:dyDescent="0.3"/>
    <row r="572" s="7" customFormat="1" ht="14.25" customHeight="1" x14ac:dyDescent="0.3"/>
    <row r="573" s="7" customFormat="1" ht="14.25" customHeight="1" x14ac:dyDescent="0.3"/>
    <row r="574" s="7" customFormat="1" ht="14.25" customHeight="1" x14ac:dyDescent="0.3"/>
    <row r="575" s="7" customFormat="1" ht="14.25" customHeight="1" x14ac:dyDescent="0.3"/>
    <row r="576" s="7" customFormat="1" ht="14.25" customHeight="1" x14ac:dyDescent="0.3"/>
    <row r="577" s="7" customFormat="1" ht="14.25" customHeight="1" x14ac:dyDescent="0.3"/>
    <row r="578" s="7" customFormat="1" ht="14.25" customHeight="1" x14ac:dyDescent="0.3"/>
    <row r="579" s="7" customFormat="1" ht="14.25" customHeight="1" x14ac:dyDescent="0.3"/>
    <row r="580" s="7" customFormat="1" ht="14.25" customHeight="1" x14ac:dyDescent="0.3"/>
    <row r="581" s="7" customFormat="1" ht="14.25" customHeight="1" x14ac:dyDescent="0.3"/>
    <row r="582" s="7" customFormat="1" ht="14.25" customHeight="1" x14ac:dyDescent="0.3"/>
    <row r="583" s="7" customFormat="1" ht="14.25" customHeight="1" x14ac:dyDescent="0.3"/>
    <row r="584" s="7" customFormat="1" ht="14.25" customHeight="1" x14ac:dyDescent="0.3"/>
    <row r="585" s="7" customFormat="1" ht="14.25" customHeight="1" x14ac:dyDescent="0.3"/>
    <row r="586" s="7" customFormat="1" ht="14.25" customHeight="1" x14ac:dyDescent="0.3"/>
    <row r="587" s="7" customFormat="1" ht="14.25" customHeight="1" x14ac:dyDescent="0.3"/>
    <row r="588" s="7" customFormat="1" ht="14.25" customHeight="1" x14ac:dyDescent="0.3"/>
    <row r="589" s="7" customFormat="1" ht="14.25" customHeight="1" x14ac:dyDescent="0.3"/>
    <row r="590" s="7" customFormat="1" ht="14.25" customHeight="1" x14ac:dyDescent="0.3"/>
    <row r="591" s="7" customFormat="1" ht="14.25" customHeight="1" x14ac:dyDescent="0.3"/>
    <row r="592" s="7" customFormat="1" ht="14.25" customHeight="1" x14ac:dyDescent="0.3"/>
    <row r="593" s="7" customFormat="1" ht="14.25" customHeight="1" x14ac:dyDescent="0.3"/>
    <row r="594" s="7" customFormat="1" ht="14.25" customHeight="1" x14ac:dyDescent="0.3"/>
    <row r="595" s="7" customFormat="1" ht="14.25" customHeight="1" x14ac:dyDescent="0.3"/>
    <row r="596" s="7" customFormat="1" ht="14.25" customHeight="1" x14ac:dyDescent="0.3"/>
    <row r="597" s="7" customFormat="1" ht="14.25" customHeight="1" x14ac:dyDescent="0.3"/>
    <row r="598" s="7" customFormat="1" ht="14.25" customHeight="1" x14ac:dyDescent="0.3"/>
    <row r="599" s="7" customFormat="1" ht="14.25" customHeight="1" x14ac:dyDescent="0.3"/>
    <row r="600" s="7" customFormat="1" ht="14.25" customHeight="1" x14ac:dyDescent="0.3"/>
    <row r="601" s="7" customFormat="1" ht="14.25" customHeight="1" x14ac:dyDescent="0.3"/>
    <row r="602" s="7" customFormat="1" ht="14.25" customHeight="1" x14ac:dyDescent="0.3"/>
    <row r="603" s="7" customFormat="1" ht="14.25" customHeight="1" x14ac:dyDescent="0.3"/>
    <row r="604" s="7" customFormat="1" ht="14.25" customHeight="1" x14ac:dyDescent="0.3"/>
    <row r="605" s="7" customFormat="1" ht="14.25" customHeight="1" x14ac:dyDescent="0.3"/>
    <row r="606" s="7" customFormat="1" ht="14.25" customHeight="1" x14ac:dyDescent="0.3"/>
    <row r="607" s="7" customFormat="1" ht="14.25" customHeight="1" x14ac:dyDescent="0.3"/>
    <row r="608" s="7" customFormat="1" ht="14.25" customHeight="1" x14ac:dyDescent="0.3"/>
    <row r="609" s="7" customFormat="1" ht="14.25" customHeight="1" x14ac:dyDescent="0.3"/>
    <row r="610" s="7" customFormat="1" ht="14.25" customHeight="1" x14ac:dyDescent="0.3"/>
    <row r="611" s="7" customFormat="1" ht="14.25" customHeight="1" x14ac:dyDescent="0.3"/>
    <row r="612" s="7" customFormat="1" ht="14.25" customHeight="1" x14ac:dyDescent="0.3"/>
    <row r="613" s="7" customFormat="1" ht="14.25" customHeight="1" x14ac:dyDescent="0.3"/>
    <row r="614" s="7" customFormat="1" ht="14.25" customHeight="1" x14ac:dyDescent="0.3"/>
    <row r="615" s="7" customFormat="1" ht="14.25" customHeight="1" x14ac:dyDescent="0.3"/>
    <row r="616" s="7" customFormat="1" ht="14.25" customHeight="1" x14ac:dyDescent="0.3"/>
    <row r="617" s="7" customFormat="1" ht="14.25" customHeight="1" x14ac:dyDescent="0.3"/>
    <row r="618" s="7" customFormat="1" ht="14.25" customHeight="1" x14ac:dyDescent="0.3"/>
    <row r="619" s="7" customFormat="1" ht="14.25" customHeight="1" x14ac:dyDescent="0.3"/>
    <row r="620" s="7" customFormat="1" ht="14.25" customHeight="1" x14ac:dyDescent="0.3"/>
    <row r="621" s="7" customFormat="1" ht="14.25" customHeight="1" x14ac:dyDescent="0.3"/>
    <row r="622" s="7" customFormat="1" ht="14.25" customHeight="1" x14ac:dyDescent="0.3"/>
    <row r="623" s="7" customFormat="1" ht="14.25" customHeight="1" x14ac:dyDescent="0.3"/>
    <row r="624" s="7" customFormat="1" ht="14.25" customHeight="1" x14ac:dyDescent="0.3"/>
    <row r="625" s="7" customFormat="1" ht="14.25" customHeight="1" x14ac:dyDescent="0.3"/>
    <row r="626" s="7" customFormat="1" ht="14.25" customHeight="1" x14ac:dyDescent="0.3"/>
    <row r="627" s="7" customFormat="1" ht="14.25" customHeight="1" x14ac:dyDescent="0.3"/>
    <row r="628" s="7" customFormat="1" ht="14.25" customHeight="1" x14ac:dyDescent="0.3"/>
    <row r="629" s="7" customFormat="1" ht="14.25" customHeight="1" x14ac:dyDescent="0.3"/>
    <row r="630" s="7" customFormat="1" ht="14.25" customHeight="1" x14ac:dyDescent="0.3"/>
    <row r="631" s="7" customFormat="1" ht="14.25" customHeight="1" x14ac:dyDescent="0.3"/>
    <row r="632" s="7" customFormat="1" ht="14.25" customHeight="1" x14ac:dyDescent="0.3"/>
    <row r="633" s="7" customFormat="1" ht="14.25" customHeight="1" x14ac:dyDescent="0.3"/>
    <row r="634" s="7" customFormat="1" ht="14.25" customHeight="1" x14ac:dyDescent="0.3"/>
    <row r="635" s="7" customFormat="1" ht="14.25" customHeight="1" x14ac:dyDescent="0.3"/>
    <row r="636" s="7" customFormat="1" ht="14.25" customHeight="1" x14ac:dyDescent="0.3"/>
    <row r="637" s="7" customFormat="1" ht="14.25" customHeight="1" x14ac:dyDescent="0.3"/>
    <row r="638" s="7" customFormat="1" ht="14.25" customHeight="1" x14ac:dyDescent="0.3"/>
    <row r="639" s="7" customFormat="1" ht="14.25" customHeight="1" x14ac:dyDescent="0.3"/>
    <row r="640" s="7" customFormat="1" ht="14.25" customHeight="1" x14ac:dyDescent="0.3"/>
    <row r="641" s="7" customFormat="1" ht="14.25" customHeight="1" x14ac:dyDescent="0.3"/>
    <row r="642" s="7" customFormat="1" ht="14.25" customHeight="1" x14ac:dyDescent="0.3"/>
    <row r="643" s="7" customFormat="1" ht="14.25" customHeight="1" x14ac:dyDescent="0.3"/>
    <row r="644" s="7" customFormat="1" ht="14.25" customHeight="1" x14ac:dyDescent="0.3"/>
    <row r="645" s="7" customFormat="1" ht="14.25" customHeight="1" x14ac:dyDescent="0.3"/>
    <row r="646" s="7" customFormat="1" ht="14.25" customHeight="1" x14ac:dyDescent="0.3"/>
    <row r="647" s="7" customFormat="1" ht="14.25" customHeight="1" x14ac:dyDescent="0.3"/>
    <row r="648" s="7" customFormat="1" ht="14.25" customHeight="1" x14ac:dyDescent="0.3"/>
    <row r="649" s="7" customFormat="1" ht="14.25" customHeight="1" x14ac:dyDescent="0.3"/>
    <row r="650" s="7" customFormat="1" ht="14.25" customHeight="1" x14ac:dyDescent="0.3"/>
    <row r="651" s="7" customFormat="1" ht="14.25" customHeight="1" x14ac:dyDescent="0.3"/>
    <row r="652" s="7" customFormat="1" ht="14.25" customHeight="1" x14ac:dyDescent="0.3"/>
    <row r="653" s="7" customFormat="1" ht="14.25" customHeight="1" x14ac:dyDescent="0.3"/>
    <row r="654" s="7" customFormat="1" ht="14.25" customHeight="1" x14ac:dyDescent="0.3"/>
    <row r="655" s="7" customFormat="1" ht="14.25" customHeight="1" x14ac:dyDescent="0.3"/>
    <row r="656" s="7" customFormat="1" ht="14.25" customHeight="1" x14ac:dyDescent="0.3"/>
    <row r="657" s="7" customFormat="1" ht="14.25" customHeight="1" x14ac:dyDescent="0.3"/>
    <row r="658" s="7" customFormat="1" ht="14.25" customHeight="1" x14ac:dyDescent="0.3"/>
    <row r="659" s="7" customFormat="1" ht="14.25" customHeight="1" x14ac:dyDescent="0.3"/>
    <row r="660" s="7" customFormat="1" ht="14.25" customHeight="1" x14ac:dyDescent="0.3"/>
    <row r="661" s="7" customFormat="1" ht="14.25" customHeight="1" x14ac:dyDescent="0.3"/>
    <row r="662" s="7" customFormat="1" ht="14.25" customHeight="1" x14ac:dyDescent="0.3"/>
    <row r="663" s="7" customFormat="1" ht="14.25" customHeight="1" x14ac:dyDescent="0.3"/>
    <row r="664" s="7" customFormat="1" ht="14.25" customHeight="1" x14ac:dyDescent="0.3"/>
    <row r="665" s="7" customFormat="1" ht="14.25" customHeight="1" x14ac:dyDescent="0.3"/>
    <row r="666" s="7" customFormat="1" ht="14.25" customHeight="1" x14ac:dyDescent="0.3"/>
    <row r="667" s="7" customFormat="1" ht="14.25" customHeight="1" x14ac:dyDescent="0.3"/>
    <row r="668" s="7" customFormat="1" ht="14.25" customHeight="1" x14ac:dyDescent="0.3"/>
    <row r="669" s="7" customFormat="1" ht="14.25" customHeight="1" x14ac:dyDescent="0.3"/>
    <row r="670" s="7" customFormat="1" ht="14.25" customHeight="1" x14ac:dyDescent="0.3"/>
    <row r="671" s="7" customFormat="1" ht="14.25" customHeight="1" x14ac:dyDescent="0.3"/>
    <row r="672" s="7" customFormat="1" ht="14.25" customHeight="1" x14ac:dyDescent="0.3"/>
    <row r="673" s="7" customFormat="1" ht="14.25" customHeight="1" x14ac:dyDescent="0.3"/>
    <row r="674" s="7" customFormat="1" ht="14.25" customHeight="1" x14ac:dyDescent="0.3"/>
    <row r="675" s="7" customFormat="1" ht="14.25" customHeight="1" x14ac:dyDescent="0.3"/>
    <row r="676" s="7" customFormat="1" ht="14.25" customHeight="1" x14ac:dyDescent="0.3"/>
    <row r="677" s="7" customFormat="1" ht="14.25" customHeight="1" x14ac:dyDescent="0.3"/>
    <row r="678" s="7" customFormat="1" ht="14.25" customHeight="1" x14ac:dyDescent="0.3"/>
    <row r="679" s="7" customFormat="1" ht="14.25" customHeight="1" x14ac:dyDescent="0.3"/>
    <row r="680" s="7" customFormat="1" ht="14.25" customHeight="1" x14ac:dyDescent="0.3"/>
    <row r="681" s="7" customFormat="1" ht="14.25" customHeight="1" x14ac:dyDescent="0.3"/>
    <row r="682" s="7" customFormat="1" ht="14.25" customHeight="1" x14ac:dyDescent="0.3"/>
    <row r="683" s="7" customFormat="1" ht="14.25" customHeight="1" x14ac:dyDescent="0.3"/>
    <row r="684" s="7" customFormat="1" ht="14.25" customHeight="1" x14ac:dyDescent="0.3"/>
    <row r="685" s="7" customFormat="1" ht="14.25" customHeight="1" x14ac:dyDescent="0.3"/>
    <row r="686" s="7" customFormat="1" ht="14.25" customHeight="1" x14ac:dyDescent="0.3"/>
    <row r="687" s="7" customFormat="1" ht="14.25" customHeight="1" x14ac:dyDescent="0.3"/>
    <row r="688" s="7" customFormat="1" ht="14.25" customHeight="1" x14ac:dyDescent="0.3"/>
    <row r="689" s="7" customFormat="1" ht="14.25" customHeight="1" x14ac:dyDescent="0.3"/>
    <row r="690" s="7" customFormat="1" ht="14.25" customHeight="1" x14ac:dyDescent="0.3"/>
    <row r="691" s="7" customFormat="1" ht="14.25" customHeight="1" x14ac:dyDescent="0.3"/>
    <row r="692" s="7" customFormat="1" ht="14.25" customHeight="1" x14ac:dyDescent="0.3"/>
    <row r="693" s="7" customFormat="1" ht="14.25" customHeight="1" x14ac:dyDescent="0.3"/>
    <row r="694" s="7" customFormat="1" ht="14.25" customHeight="1" x14ac:dyDescent="0.3"/>
    <row r="695" s="7" customFormat="1" ht="14.25" customHeight="1" x14ac:dyDescent="0.3"/>
    <row r="696" s="7" customFormat="1" ht="14.25" customHeight="1" x14ac:dyDescent="0.3"/>
    <row r="697" s="7" customFormat="1" ht="14.25" customHeight="1" x14ac:dyDescent="0.3"/>
    <row r="698" s="7" customFormat="1" ht="14.25" customHeight="1" x14ac:dyDescent="0.3"/>
    <row r="699" s="7" customFormat="1" ht="14.25" customHeight="1" x14ac:dyDescent="0.3"/>
    <row r="700" s="7" customFormat="1" ht="14.25" customHeight="1" x14ac:dyDescent="0.3"/>
    <row r="701" s="7" customFormat="1" ht="14.25" customHeight="1" x14ac:dyDescent="0.3"/>
    <row r="702" s="7" customFormat="1" ht="14.25" customHeight="1" x14ac:dyDescent="0.3"/>
    <row r="703" s="7" customFormat="1" ht="14.25" customHeight="1" x14ac:dyDescent="0.3"/>
    <row r="704" s="7" customFormat="1" ht="14.25" customHeight="1" x14ac:dyDescent="0.3"/>
    <row r="705" s="7" customFormat="1" ht="14.25" customHeight="1" x14ac:dyDescent="0.3"/>
    <row r="706" s="7" customFormat="1" ht="14.25" customHeight="1" x14ac:dyDescent="0.3"/>
    <row r="707" s="7" customFormat="1" ht="14.25" customHeight="1" x14ac:dyDescent="0.3"/>
    <row r="708" s="7" customFormat="1" ht="14.25" customHeight="1" x14ac:dyDescent="0.3"/>
    <row r="709" s="7" customFormat="1" ht="14.25" customHeight="1" x14ac:dyDescent="0.3"/>
    <row r="710" s="7" customFormat="1" ht="14.25" customHeight="1" x14ac:dyDescent="0.3"/>
    <row r="711" s="7" customFormat="1" ht="14.25" customHeight="1" x14ac:dyDescent="0.3"/>
    <row r="712" s="7" customFormat="1" ht="14.25" customHeight="1" x14ac:dyDescent="0.3"/>
    <row r="713" s="7" customFormat="1" ht="14.25" customHeight="1" x14ac:dyDescent="0.3"/>
    <row r="714" s="7" customFormat="1" ht="14.25" customHeight="1" x14ac:dyDescent="0.3"/>
    <row r="715" s="7" customFormat="1" ht="14.25" customHeight="1" x14ac:dyDescent="0.3"/>
    <row r="716" s="7" customFormat="1" ht="14.25" customHeight="1" x14ac:dyDescent="0.3"/>
    <row r="717" s="7" customFormat="1" ht="14.25" customHeight="1" x14ac:dyDescent="0.3"/>
    <row r="718" s="7" customFormat="1" ht="14.25" customHeight="1" x14ac:dyDescent="0.3"/>
    <row r="719" s="7" customFormat="1" ht="14.25" customHeight="1" x14ac:dyDescent="0.3"/>
    <row r="720" s="7" customFormat="1" ht="14.25" customHeight="1" x14ac:dyDescent="0.3"/>
    <row r="721" s="7" customFormat="1" ht="14.25" customHeight="1" x14ac:dyDescent="0.3"/>
    <row r="722" s="7" customFormat="1" ht="14.25" customHeight="1" x14ac:dyDescent="0.3"/>
    <row r="723" s="7" customFormat="1" ht="14.25" customHeight="1" x14ac:dyDescent="0.3"/>
    <row r="724" s="7" customFormat="1" ht="14.25" customHeight="1" x14ac:dyDescent="0.3"/>
    <row r="725" s="7" customFormat="1" ht="14.25" customHeight="1" x14ac:dyDescent="0.3"/>
    <row r="726" s="7" customFormat="1" ht="14.25" customHeight="1" x14ac:dyDescent="0.3"/>
    <row r="727" s="7" customFormat="1" ht="14.25" customHeight="1" x14ac:dyDescent="0.3"/>
    <row r="728" s="7" customFormat="1" ht="14.25" customHeight="1" x14ac:dyDescent="0.3"/>
    <row r="729" s="7" customFormat="1" ht="14.25" customHeight="1" x14ac:dyDescent="0.3"/>
    <row r="730" s="7" customFormat="1" ht="14.25" customHeight="1" x14ac:dyDescent="0.3"/>
    <row r="731" s="7" customFormat="1" ht="14.25" customHeight="1" x14ac:dyDescent="0.3"/>
    <row r="732" s="7" customFormat="1" ht="14.25" customHeight="1" x14ac:dyDescent="0.3"/>
    <row r="733" s="7" customFormat="1" ht="14.25" customHeight="1" x14ac:dyDescent="0.3"/>
    <row r="734" s="7" customFormat="1" ht="14.25" customHeight="1" x14ac:dyDescent="0.3"/>
    <row r="735" s="7" customFormat="1" ht="14.25" customHeight="1" x14ac:dyDescent="0.3"/>
    <row r="736" s="7" customFormat="1" ht="14.25" customHeight="1" x14ac:dyDescent="0.3"/>
    <row r="737" s="7" customFormat="1" ht="14.25" customHeight="1" x14ac:dyDescent="0.3"/>
    <row r="738" s="7" customFormat="1" ht="14.25" customHeight="1" x14ac:dyDescent="0.3"/>
    <row r="739" s="7" customFormat="1" ht="14.25" customHeight="1" x14ac:dyDescent="0.3"/>
    <row r="740" s="7" customFormat="1" ht="14.25" customHeight="1" x14ac:dyDescent="0.3"/>
    <row r="741" s="7" customFormat="1" ht="14.25" customHeight="1" x14ac:dyDescent="0.3"/>
    <row r="742" s="7" customFormat="1" ht="14.25" customHeight="1" x14ac:dyDescent="0.3"/>
    <row r="743" s="7" customFormat="1" ht="14.25" customHeight="1" x14ac:dyDescent="0.3"/>
    <row r="744" s="7" customFormat="1" ht="14.25" customHeight="1" x14ac:dyDescent="0.3"/>
    <row r="745" s="7" customFormat="1" ht="14.25" customHeight="1" x14ac:dyDescent="0.3"/>
    <row r="746" s="7" customFormat="1" ht="14.25" customHeight="1" x14ac:dyDescent="0.3"/>
    <row r="747" s="7" customFormat="1" ht="14.25" customHeight="1" x14ac:dyDescent="0.3"/>
    <row r="748" s="7" customFormat="1" ht="14.25" customHeight="1" x14ac:dyDescent="0.3"/>
    <row r="749" s="7" customFormat="1" ht="14.25" customHeight="1" x14ac:dyDescent="0.3"/>
    <row r="750" s="7" customFormat="1" ht="14.25" customHeight="1" x14ac:dyDescent="0.3"/>
    <row r="751" s="7" customFormat="1" ht="14.25" customHeight="1" x14ac:dyDescent="0.3"/>
    <row r="752" s="7" customFormat="1" ht="14.25" customHeight="1" x14ac:dyDescent="0.3"/>
    <row r="753" s="7" customFormat="1" ht="14.25" customHeight="1" x14ac:dyDescent="0.3"/>
    <row r="754" s="7" customFormat="1" ht="14.25" customHeight="1" x14ac:dyDescent="0.3"/>
    <row r="755" s="7" customFormat="1" ht="14.25" customHeight="1" x14ac:dyDescent="0.3"/>
    <row r="756" s="7" customFormat="1" ht="14.25" customHeight="1" x14ac:dyDescent="0.3"/>
    <row r="757" s="7" customFormat="1" ht="14.25" customHeight="1" x14ac:dyDescent="0.3"/>
    <row r="758" s="7" customFormat="1" ht="14.25" customHeight="1" x14ac:dyDescent="0.3"/>
    <row r="759" s="7" customFormat="1" ht="14.25" customHeight="1" x14ac:dyDescent="0.3"/>
    <row r="760" s="7" customFormat="1" ht="14.25" customHeight="1" x14ac:dyDescent="0.3"/>
    <row r="761" s="7" customFormat="1" ht="14.25" customHeight="1" x14ac:dyDescent="0.3"/>
    <row r="762" s="7" customFormat="1" ht="14.25" customHeight="1" x14ac:dyDescent="0.3"/>
    <row r="763" s="7" customFormat="1" ht="14.25" customHeight="1" x14ac:dyDescent="0.3"/>
    <row r="764" s="7" customFormat="1" ht="14.25" customHeight="1" x14ac:dyDescent="0.3"/>
    <row r="765" s="7" customFormat="1" ht="14.25" customHeight="1" x14ac:dyDescent="0.3"/>
    <row r="766" s="7" customFormat="1" ht="14.25" customHeight="1" x14ac:dyDescent="0.3"/>
    <row r="767" s="7" customFormat="1" ht="14.25" customHeight="1" x14ac:dyDescent="0.3"/>
    <row r="768" s="7" customFormat="1" ht="14.25" customHeight="1" x14ac:dyDescent="0.3"/>
    <row r="769" s="7" customFormat="1" ht="14.25" customHeight="1" x14ac:dyDescent="0.3"/>
    <row r="770" s="7" customFormat="1" ht="14.25" customHeight="1" x14ac:dyDescent="0.3"/>
    <row r="771" s="7" customFormat="1" ht="14.25" customHeight="1" x14ac:dyDescent="0.3"/>
    <row r="772" s="7" customFormat="1" ht="14.25" customHeight="1" x14ac:dyDescent="0.3"/>
    <row r="773" s="7" customFormat="1" ht="14.25" customHeight="1" x14ac:dyDescent="0.3"/>
    <row r="774" s="7" customFormat="1" ht="14.25" customHeight="1" x14ac:dyDescent="0.3"/>
    <row r="775" s="7" customFormat="1" ht="14.25" customHeight="1" x14ac:dyDescent="0.3"/>
    <row r="776" s="7" customFormat="1" ht="14.25" customHeight="1" x14ac:dyDescent="0.3"/>
    <row r="777" s="7" customFormat="1" ht="14.25" customHeight="1" x14ac:dyDescent="0.3"/>
    <row r="778" s="7" customFormat="1" ht="14.25" customHeight="1" x14ac:dyDescent="0.3"/>
    <row r="779" s="7" customFormat="1" ht="14.25" customHeight="1" x14ac:dyDescent="0.3"/>
    <row r="780" s="7" customFormat="1" ht="14.25" customHeight="1" x14ac:dyDescent="0.3"/>
    <row r="781" s="7" customFormat="1" ht="14.25" customHeight="1" x14ac:dyDescent="0.3"/>
    <row r="782" s="7" customFormat="1" ht="14.25" customHeight="1" x14ac:dyDescent="0.3"/>
    <row r="783" s="7" customFormat="1" ht="14.25" customHeight="1" x14ac:dyDescent="0.3"/>
    <row r="784" s="7" customFormat="1" ht="14.25" customHeight="1" x14ac:dyDescent="0.3"/>
    <row r="785" s="7" customFormat="1" ht="14.25" customHeight="1" x14ac:dyDescent="0.3"/>
    <row r="786" s="7" customFormat="1" ht="14.25" customHeight="1" x14ac:dyDescent="0.3"/>
    <row r="787" s="7" customFormat="1" ht="14.25" customHeight="1" x14ac:dyDescent="0.3"/>
    <row r="788" s="7" customFormat="1" ht="14.25" customHeight="1" x14ac:dyDescent="0.3"/>
    <row r="789" s="7" customFormat="1" ht="14.25" customHeight="1" x14ac:dyDescent="0.3"/>
    <row r="790" s="7" customFormat="1" ht="14.25" customHeight="1" x14ac:dyDescent="0.3"/>
    <row r="791" s="7" customFormat="1" ht="14.25" customHeight="1" x14ac:dyDescent="0.3"/>
    <row r="792" s="7" customFormat="1" ht="14.25" customHeight="1" x14ac:dyDescent="0.3"/>
    <row r="793" s="7" customFormat="1" ht="14.25" customHeight="1" x14ac:dyDescent="0.3"/>
    <row r="794" s="7" customFormat="1" ht="14.25" customHeight="1" x14ac:dyDescent="0.3"/>
    <row r="795" s="7" customFormat="1" ht="14.25" customHeight="1" x14ac:dyDescent="0.3"/>
    <row r="796" s="7" customFormat="1" ht="14.25" customHeight="1" x14ac:dyDescent="0.3"/>
    <row r="797" s="7" customFormat="1" ht="14.25" customHeight="1" x14ac:dyDescent="0.3"/>
    <row r="798" s="7" customFormat="1" ht="14.25" customHeight="1" x14ac:dyDescent="0.3"/>
    <row r="799" s="7" customFormat="1" ht="14.25" customHeight="1" x14ac:dyDescent="0.3"/>
    <row r="800" s="7" customFormat="1" ht="14.25" customHeight="1" x14ac:dyDescent="0.3"/>
    <row r="801" s="7" customFormat="1" ht="14.25" customHeight="1" x14ac:dyDescent="0.3"/>
    <row r="802" s="7" customFormat="1" ht="14.25" customHeight="1" x14ac:dyDescent="0.3"/>
    <row r="803" s="7" customFormat="1" ht="14.25" customHeight="1" x14ac:dyDescent="0.3"/>
    <row r="804" s="7" customFormat="1" ht="14.25" customHeight="1" x14ac:dyDescent="0.3"/>
    <row r="805" s="7" customFormat="1" ht="14.25" customHeight="1" x14ac:dyDescent="0.3"/>
    <row r="806" s="7" customFormat="1" ht="14.25" customHeight="1" x14ac:dyDescent="0.3"/>
    <row r="807" s="7" customFormat="1" ht="14.25" customHeight="1" x14ac:dyDescent="0.3"/>
    <row r="808" s="7" customFormat="1" ht="14.25" customHeight="1" x14ac:dyDescent="0.3"/>
    <row r="809" s="7" customFormat="1" ht="14.25" customHeight="1" x14ac:dyDescent="0.3"/>
    <row r="810" s="7" customFormat="1" ht="14.25" customHeight="1" x14ac:dyDescent="0.3"/>
    <row r="811" s="7" customFormat="1" ht="14.25" customHeight="1" x14ac:dyDescent="0.3"/>
    <row r="812" s="7" customFormat="1" ht="14.25" customHeight="1" x14ac:dyDescent="0.3"/>
    <row r="813" s="7" customFormat="1" ht="14.25" customHeight="1" x14ac:dyDescent="0.3"/>
    <row r="814" s="7" customFormat="1" ht="14.25" customHeight="1" x14ac:dyDescent="0.3"/>
    <row r="815" s="7" customFormat="1" ht="14.25" customHeight="1" x14ac:dyDescent="0.3"/>
    <row r="816" s="7" customFormat="1" ht="14.25" customHeight="1" x14ac:dyDescent="0.3"/>
    <row r="817" s="7" customFormat="1" ht="14.25" customHeight="1" x14ac:dyDescent="0.3"/>
    <row r="818" s="7" customFormat="1" ht="14.25" customHeight="1" x14ac:dyDescent="0.3"/>
    <row r="819" s="7" customFormat="1" ht="14.25" customHeight="1" x14ac:dyDescent="0.3"/>
    <row r="820" s="7" customFormat="1" ht="14.25" customHeight="1" x14ac:dyDescent="0.3"/>
    <row r="821" s="7" customFormat="1" ht="14.25" customHeight="1" x14ac:dyDescent="0.3"/>
    <row r="822" s="7" customFormat="1" ht="14.25" customHeight="1" x14ac:dyDescent="0.3"/>
    <row r="823" s="7" customFormat="1" ht="14.25" customHeight="1" x14ac:dyDescent="0.3"/>
    <row r="824" s="7" customFormat="1" ht="14.25" customHeight="1" x14ac:dyDescent="0.3"/>
    <row r="825" s="7" customFormat="1" ht="14.25" customHeight="1" x14ac:dyDescent="0.3"/>
    <row r="826" s="7" customFormat="1" ht="14.25" customHeight="1" x14ac:dyDescent="0.3"/>
    <row r="827" s="7" customFormat="1" ht="14.25" customHeight="1" x14ac:dyDescent="0.3"/>
    <row r="828" s="7" customFormat="1" ht="14.25" customHeight="1" x14ac:dyDescent="0.3"/>
    <row r="829" s="7" customFormat="1" ht="14.25" customHeight="1" x14ac:dyDescent="0.3"/>
    <row r="830" s="7" customFormat="1" ht="14.25" customHeight="1" x14ac:dyDescent="0.3"/>
    <row r="831" s="7" customFormat="1" ht="14.25" customHeight="1" x14ac:dyDescent="0.3"/>
    <row r="832" s="7" customFormat="1" ht="14.25" customHeight="1" x14ac:dyDescent="0.3"/>
    <row r="833" s="7" customFormat="1" ht="14.25" customHeight="1" x14ac:dyDescent="0.3"/>
    <row r="834" s="7" customFormat="1" ht="14.25" customHeight="1" x14ac:dyDescent="0.3"/>
    <row r="835" s="7" customFormat="1" ht="14.25" customHeight="1" x14ac:dyDescent="0.3"/>
    <row r="836" s="7" customFormat="1" ht="14.25" customHeight="1" x14ac:dyDescent="0.3"/>
    <row r="837" s="7" customFormat="1" ht="14.25" customHeight="1" x14ac:dyDescent="0.3"/>
    <row r="838" s="7" customFormat="1" ht="14.25" customHeight="1" x14ac:dyDescent="0.3"/>
    <row r="839" s="7" customFormat="1" ht="14.25" customHeight="1" x14ac:dyDescent="0.3"/>
    <row r="840" s="7" customFormat="1" ht="14.25" customHeight="1" x14ac:dyDescent="0.3"/>
    <row r="841" s="7" customFormat="1" ht="14.25" customHeight="1" x14ac:dyDescent="0.3"/>
    <row r="842" s="7" customFormat="1" ht="14.25" customHeight="1" x14ac:dyDescent="0.3"/>
    <row r="843" s="7" customFormat="1" ht="14.25" customHeight="1" x14ac:dyDescent="0.3"/>
    <row r="844" s="7" customFormat="1" ht="14.25" customHeight="1" x14ac:dyDescent="0.3"/>
    <row r="845" s="7" customFormat="1" ht="14.25" customHeight="1" x14ac:dyDescent="0.3"/>
    <row r="846" s="7" customFormat="1" ht="14.25" customHeight="1" x14ac:dyDescent="0.3"/>
    <row r="847" s="7" customFormat="1" ht="14.25" customHeight="1" x14ac:dyDescent="0.3"/>
    <row r="848" s="7" customFormat="1" ht="14.25" customHeight="1" x14ac:dyDescent="0.3"/>
    <row r="849" s="7" customFormat="1" ht="14.25" customHeight="1" x14ac:dyDescent="0.3"/>
    <row r="850" s="7" customFormat="1" ht="14.25" customHeight="1" x14ac:dyDescent="0.3"/>
    <row r="851" s="7" customFormat="1" ht="14.25" customHeight="1" x14ac:dyDescent="0.3"/>
    <row r="852" s="7" customFormat="1" ht="14.25" customHeight="1" x14ac:dyDescent="0.3"/>
    <row r="853" s="7" customFormat="1" ht="14.25" customHeight="1" x14ac:dyDescent="0.3"/>
    <row r="854" s="7" customFormat="1" ht="14.25" customHeight="1" x14ac:dyDescent="0.3"/>
    <row r="855" s="7" customFormat="1" ht="14.25" customHeight="1" x14ac:dyDescent="0.3"/>
    <row r="856" s="7" customFormat="1" ht="14.25" customHeight="1" x14ac:dyDescent="0.3"/>
    <row r="857" s="7" customFormat="1" ht="14.25" customHeight="1" x14ac:dyDescent="0.3"/>
    <row r="858" s="7" customFormat="1" ht="14.25" customHeight="1" x14ac:dyDescent="0.3"/>
    <row r="859" s="7" customFormat="1" ht="14.25" customHeight="1" x14ac:dyDescent="0.3"/>
    <row r="860" s="7" customFormat="1" ht="14.25" customHeight="1" x14ac:dyDescent="0.3"/>
    <row r="861" s="7" customFormat="1" ht="14.25" customHeight="1" x14ac:dyDescent="0.3"/>
    <row r="862" s="7" customFormat="1" ht="14.25" customHeight="1" x14ac:dyDescent="0.3"/>
    <row r="863" s="7" customFormat="1" ht="14.25" customHeight="1" x14ac:dyDescent="0.3"/>
    <row r="864" s="7" customFormat="1" ht="14.25" customHeight="1" x14ac:dyDescent="0.3"/>
    <row r="865" s="7" customFormat="1" ht="14.25" customHeight="1" x14ac:dyDescent="0.3"/>
    <row r="866" s="7" customFormat="1" ht="14.25" customHeight="1" x14ac:dyDescent="0.3"/>
    <row r="867" s="7" customFormat="1" ht="14.25" customHeight="1" x14ac:dyDescent="0.3"/>
    <row r="868" s="7" customFormat="1" ht="14.25" customHeight="1" x14ac:dyDescent="0.3"/>
    <row r="869" s="7" customFormat="1" ht="14.25" customHeight="1" x14ac:dyDescent="0.3"/>
    <row r="870" s="7" customFormat="1" ht="14.25" customHeight="1" x14ac:dyDescent="0.3"/>
    <row r="871" s="7" customFormat="1" ht="14.25" customHeight="1" x14ac:dyDescent="0.3"/>
    <row r="872" s="7" customFormat="1" ht="14.25" customHeight="1" x14ac:dyDescent="0.3"/>
    <row r="873" s="7" customFormat="1" ht="14.25" customHeight="1" x14ac:dyDescent="0.3"/>
    <row r="874" s="7" customFormat="1" ht="14.25" customHeight="1" x14ac:dyDescent="0.3"/>
    <row r="875" s="7" customFormat="1" ht="14.25" customHeight="1" x14ac:dyDescent="0.3"/>
    <row r="876" s="7" customFormat="1" ht="14.25" customHeight="1" x14ac:dyDescent="0.3"/>
    <row r="877" s="7" customFormat="1" ht="14.25" customHeight="1" x14ac:dyDescent="0.3"/>
    <row r="878" s="7" customFormat="1" ht="14.25" customHeight="1" x14ac:dyDescent="0.3"/>
    <row r="879" s="7" customFormat="1" ht="14.25" customHeight="1" x14ac:dyDescent="0.3"/>
    <row r="880" s="7" customFormat="1" ht="14.25" customHeight="1" x14ac:dyDescent="0.3"/>
    <row r="881" s="7" customFormat="1" ht="14.25" customHeight="1" x14ac:dyDescent="0.3"/>
    <row r="882" s="7" customFormat="1" ht="14.25" customHeight="1" x14ac:dyDescent="0.3"/>
    <row r="883" s="7" customFormat="1" ht="14.25" customHeight="1" x14ac:dyDescent="0.3"/>
    <row r="884" s="7" customFormat="1" ht="14.25" customHeight="1" x14ac:dyDescent="0.3"/>
    <row r="885" s="7" customFormat="1" ht="14.25" customHeight="1" x14ac:dyDescent="0.3"/>
    <row r="886" s="7" customFormat="1" ht="14.25" customHeight="1" x14ac:dyDescent="0.3"/>
    <row r="887" s="7" customFormat="1" ht="14.25" customHeight="1" x14ac:dyDescent="0.3"/>
    <row r="888" s="7" customFormat="1" ht="14.25" customHeight="1" x14ac:dyDescent="0.3"/>
    <row r="889" s="7" customFormat="1" ht="14.25" customHeight="1" x14ac:dyDescent="0.3"/>
    <row r="890" s="7" customFormat="1" ht="14.25" customHeight="1" x14ac:dyDescent="0.3"/>
    <row r="891" s="7" customFormat="1" ht="14.25" customHeight="1" x14ac:dyDescent="0.3"/>
    <row r="892" s="7" customFormat="1" ht="14.25" customHeight="1" x14ac:dyDescent="0.3"/>
    <row r="893" s="7" customFormat="1" ht="14.25" customHeight="1" x14ac:dyDescent="0.3"/>
    <row r="894" s="7" customFormat="1" ht="14.25" customHeight="1" x14ac:dyDescent="0.3"/>
    <row r="895" s="7" customFormat="1" ht="14.25" customHeight="1" x14ac:dyDescent="0.3"/>
    <row r="896" s="7" customFormat="1" ht="14.25" customHeight="1" x14ac:dyDescent="0.3"/>
    <row r="897" s="7" customFormat="1" ht="14.25" customHeight="1" x14ac:dyDescent="0.3"/>
    <row r="898" s="7" customFormat="1" ht="14.25" customHeight="1" x14ac:dyDescent="0.3"/>
    <row r="899" s="7" customFormat="1" ht="14.25" customHeight="1" x14ac:dyDescent="0.3"/>
    <row r="900" s="7" customFormat="1" ht="14.25" customHeight="1" x14ac:dyDescent="0.3"/>
    <row r="901" s="7" customFormat="1" ht="14.25" customHeight="1" x14ac:dyDescent="0.3"/>
    <row r="902" s="7" customFormat="1" ht="14.25" customHeight="1" x14ac:dyDescent="0.3"/>
    <row r="903" s="7" customFormat="1" ht="14.25" customHeight="1" x14ac:dyDescent="0.3"/>
    <row r="904" s="7" customFormat="1" ht="14.25" customHeight="1" x14ac:dyDescent="0.3"/>
    <row r="905" s="7" customFormat="1" ht="14.25" customHeight="1" x14ac:dyDescent="0.3"/>
    <row r="906" s="7" customFormat="1" ht="14.25" customHeight="1" x14ac:dyDescent="0.3"/>
    <row r="907" s="7" customFormat="1" ht="14.25" customHeight="1" x14ac:dyDescent="0.3"/>
    <row r="908" s="7" customFormat="1" ht="14.25" customHeight="1" x14ac:dyDescent="0.3"/>
    <row r="909" s="7" customFormat="1" ht="14.25" customHeight="1" x14ac:dyDescent="0.3"/>
    <row r="910" s="7" customFormat="1" ht="14.25" customHeight="1" x14ac:dyDescent="0.3"/>
    <row r="911" s="7" customFormat="1" ht="14.25" customHeight="1" x14ac:dyDescent="0.3"/>
    <row r="912" s="7" customFormat="1" ht="14.25" customHeight="1" x14ac:dyDescent="0.3"/>
    <row r="913" s="7" customFormat="1" ht="14.25" customHeight="1" x14ac:dyDescent="0.3"/>
    <row r="914" s="7" customFormat="1" ht="14.25" customHeight="1" x14ac:dyDescent="0.3"/>
    <row r="915" s="7" customFormat="1" ht="14.25" customHeight="1" x14ac:dyDescent="0.3"/>
    <row r="916" s="7" customFormat="1" ht="14.25" customHeight="1" x14ac:dyDescent="0.3"/>
    <row r="917" s="7" customFormat="1" ht="14.25" customHeight="1" x14ac:dyDescent="0.3"/>
    <row r="918" s="7" customFormat="1" ht="14.25" customHeight="1" x14ac:dyDescent="0.3"/>
    <row r="919" s="7" customFormat="1" ht="14.25" customHeight="1" x14ac:dyDescent="0.3"/>
    <row r="920" s="7" customFormat="1" ht="14.25" customHeight="1" x14ac:dyDescent="0.3"/>
    <row r="921" s="7" customFormat="1" ht="14.25" customHeight="1" x14ac:dyDescent="0.3"/>
    <row r="922" s="7" customFormat="1" ht="14.25" customHeight="1" x14ac:dyDescent="0.3"/>
    <row r="923" s="7" customFormat="1" ht="14.25" customHeight="1" x14ac:dyDescent="0.3"/>
    <row r="924" s="7" customFormat="1" ht="14.25" customHeight="1" x14ac:dyDescent="0.3"/>
    <row r="925" s="7" customFormat="1" ht="14.25" customHeight="1" x14ac:dyDescent="0.3"/>
    <row r="926" s="7" customFormat="1" ht="14.25" customHeight="1" x14ac:dyDescent="0.3"/>
    <row r="927" s="7" customFormat="1" ht="14.25" customHeight="1" x14ac:dyDescent="0.3"/>
    <row r="928" s="7" customFormat="1" ht="14.25" customHeight="1" x14ac:dyDescent="0.3"/>
    <row r="929" s="7" customFormat="1" ht="14.25" customHeight="1" x14ac:dyDescent="0.3"/>
    <row r="930" s="7" customFormat="1" ht="14.25" customHeight="1" x14ac:dyDescent="0.3"/>
    <row r="931" s="7" customFormat="1" ht="14.25" customHeight="1" x14ac:dyDescent="0.3"/>
    <row r="932" s="7" customFormat="1" ht="14.25" customHeight="1" x14ac:dyDescent="0.3"/>
    <row r="933" s="7" customFormat="1" ht="14.25" customHeight="1" x14ac:dyDescent="0.3"/>
    <row r="934" s="7" customFormat="1" ht="14.25" customHeight="1" x14ac:dyDescent="0.3"/>
    <row r="935" s="7" customFormat="1" ht="14.25" customHeight="1" x14ac:dyDescent="0.3"/>
    <row r="936" s="7" customFormat="1" ht="14.25" customHeight="1" x14ac:dyDescent="0.3"/>
    <row r="937" s="7" customFormat="1" ht="14.25" customHeight="1" x14ac:dyDescent="0.3"/>
    <row r="938" s="7" customFormat="1" ht="14.25" customHeight="1" x14ac:dyDescent="0.3"/>
    <row r="939" s="7" customFormat="1" ht="14.25" customHeight="1" x14ac:dyDescent="0.3"/>
    <row r="940" s="7" customFormat="1" ht="14.25" customHeight="1" x14ac:dyDescent="0.3"/>
    <row r="941" s="7" customFormat="1" ht="14.25" customHeight="1" x14ac:dyDescent="0.3"/>
    <row r="942" s="7" customFormat="1" ht="14.25" customHeight="1" x14ac:dyDescent="0.3"/>
    <row r="943" s="7" customFormat="1" ht="14.25" customHeight="1" x14ac:dyDescent="0.3"/>
    <row r="944" s="7" customFormat="1" ht="14.25" customHeight="1" x14ac:dyDescent="0.3"/>
    <row r="945" s="7" customFormat="1" ht="14.25" customHeight="1" x14ac:dyDescent="0.3"/>
    <row r="946" s="7" customFormat="1" ht="14.25" customHeight="1" x14ac:dyDescent="0.3"/>
    <row r="947" s="7" customFormat="1" ht="14.25" customHeight="1" x14ac:dyDescent="0.3"/>
    <row r="948" s="7" customFormat="1" ht="14.25" customHeight="1" x14ac:dyDescent="0.3"/>
    <row r="949" s="7" customFormat="1" ht="14.25" customHeight="1" x14ac:dyDescent="0.3"/>
    <row r="950" s="7" customFormat="1" ht="14.25" customHeight="1" x14ac:dyDescent="0.3"/>
    <row r="951" s="7" customFormat="1" ht="14.25" customHeight="1" x14ac:dyDescent="0.3"/>
    <row r="952" s="7" customFormat="1" ht="14.25" customHeight="1" x14ac:dyDescent="0.3"/>
    <row r="953" s="7" customFormat="1" ht="14.25" customHeight="1" x14ac:dyDescent="0.3"/>
    <row r="954" s="7" customFormat="1" ht="14.25" customHeight="1" x14ac:dyDescent="0.3"/>
    <row r="955" s="7" customFormat="1" ht="14.25" customHeight="1" x14ac:dyDescent="0.3"/>
    <row r="956" s="7" customFormat="1" ht="14.25" customHeight="1" x14ac:dyDescent="0.3"/>
    <row r="957" s="7" customFormat="1" ht="14.25" customHeight="1" x14ac:dyDescent="0.3"/>
    <row r="958" s="7" customFormat="1" ht="14.25" customHeight="1" x14ac:dyDescent="0.3"/>
    <row r="959" s="7" customFormat="1" ht="14.25" customHeight="1" x14ac:dyDescent="0.3"/>
    <row r="960" s="7" customFormat="1" ht="14.25" customHeight="1" x14ac:dyDescent="0.3"/>
    <row r="961" s="7" customFormat="1" ht="14.25" customHeight="1" x14ac:dyDescent="0.3"/>
    <row r="962" s="7" customFormat="1" ht="14.25" customHeight="1" x14ac:dyDescent="0.3"/>
    <row r="963" s="7" customFormat="1" ht="14.25" customHeight="1" x14ac:dyDescent="0.3"/>
    <row r="964" s="7" customFormat="1" ht="14.25" customHeight="1" x14ac:dyDescent="0.3"/>
    <row r="965" s="7" customFormat="1" ht="14.25" customHeight="1" x14ac:dyDescent="0.3"/>
    <row r="966" s="7" customFormat="1" ht="14.25" customHeight="1" x14ac:dyDescent="0.3"/>
    <row r="967" s="7" customFormat="1" ht="14.25" customHeight="1" x14ac:dyDescent="0.3"/>
    <row r="968" s="7" customFormat="1" ht="14.25" customHeight="1" x14ac:dyDescent="0.3"/>
    <row r="969" s="7" customFormat="1" ht="14.25" customHeight="1" x14ac:dyDescent="0.3"/>
    <row r="970" s="7" customFormat="1" ht="14.25" customHeight="1" x14ac:dyDescent="0.3"/>
    <row r="971" s="7" customFormat="1" ht="14.25" customHeight="1" x14ac:dyDescent="0.3"/>
    <row r="972" s="7" customFormat="1" ht="14.25" customHeight="1" x14ac:dyDescent="0.3"/>
    <row r="973" s="7" customFormat="1" ht="14.25" customHeight="1" x14ac:dyDescent="0.3"/>
    <row r="974" s="7" customFormat="1" ht="14.25" customHeight="1" x14ac:dyDescent="0.3"/>
    <row r="975" s="7" customFormat="1" ht="14.25" customHeight="1" x14ac:dyDescent="0.3"/>
    <row r="976" s="7" customFormat="1" ht="14.25" customHeight="1" x14ac:dyDescent="0.3"/>
    <row r="977" s="7" customFormat="1" ht="14.25" customHeight="1" x14ac:dyDescent="0.3"/>
    <row r="978" s="7" customFormat="1" ht="14.25" customHeight="1" x14ac:dyDescent="0.3"/>
    <row r="979" s="7" customFormat="1" ht="14.25" customHeight="1" x14ac:dyDescent="0.3"/>
    <row r="980" s="7" customFormat="1" ht="14.25" customHeight="1" x14ac:dyDescent="0.3"/>
    <row r="981" s="7" customFormat="1" ht="14.25" customHeight="1" x14ac:dyDescent="0.3"/>
    <row r="982" s="7" customFormat="1" ht="14.25" customHeight="1" x14ac:dyDescent="0.3"/>
    <row r="983" s="7" customFormat="1" ht="14.25" customHeight="1" x14ac:dyDescent="0.3"/>
    <row r="984" s="7" customFormat="1" ht="14.25" customHeight="1" x14ac:dyDescent="0.3"/>
    <row r="985" s="7" customFormat="1" ht="14.25" customHeight="1" x14ac:dyDescent="0.3"/>
    <row r="986" s="7" customFormat="1" ht="14.25" customHeight="1" x14ac:dyDescent="0.3"/>
    <row r="987" s="7" customFormat="1" ht="14.25" customHeight="1" x14ac:dyDescent="0.3"/>
    <row r="988" s="7" customFormat="1" ht="14.25" customHeight="1" x14ac:dyDescent="0.3"/>
    <row r="989" s="7" customFormat="1" ht="14.25" customHeight="1" x14ac:dyDescent="0.3"/>
    <row r="990" s="7" customFormat="1" ht="14.25" customHeight="1" x14ac:dyDescent="0.3"/>
    <row r="991" s="7" customFormat="1" ht="14.25" customHeight="1" x14ac:dyDescent="0.3"/>
    <row r="992" s="7" customFormat="1" ht="14.25" customHeight="1" x14ac:dyDescent="0.3"/>
    <row r="993" s="7" customFormat="1" ht="14.25" customHeight="1" x14ac:dyDescent="0.3"/>
    <row r="994" s="7" customFormat="1" ht="14.25" customHeight="1" x14ac:dyDescent="0.3"/>
    <row r="995" s="7" customFormat="1" ht="14.25" customHeight="1" x14ac:dyDescent="0.3"/>
    <row r="996" s="7" customFormat="1" ht="14.25" customHeight="1" x14ac:dyDescent="0.3"/>
    <row r="997" s="7" customFormat="1" ht="14.25" customHeight="1" x14ac:dyDescent="0.3"/>
    <row r="998" s="7" customFormat="1" ht="14.25" customHeight="1" x14ac:dyDescent="0.3"/>
    <row r="999" s="7" customFormat="1" ht="14.25" customHeight="1" x14ac:dyDescent="0.3"/>
    <row r="1000" s="7" customFormat="1" ht="14.25" customHeight="1" x14ac:dyDescent="0.3"/>
  </sheetData>
  <mergeCells count="5">
    <mergeCell ref="B2:C2"/>
    <mergeCell ref="D2:E2"/>
    <mergeCell ref="F2:G2"/>
    <mergeCell ref="H2:I2"/>
    <mergeCell ref="J2:K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Historical Data</vt:lpstr>
      <vt:lpstr>Forecasting</vt:lpstr>
      <vt:lpstr>Debt</vt:lpstr>
      <vt:lpstr>Fixed Asset</vt:lpstr>
      <vt:lpstr>Depreciation</vt:lpstr>
      <vt:lpstr>CCC</vt:lpstr>
      <vt:lpstr>Sales</vt:lpstr>
      <vt:lpstr>Drilling Service</vt:lpstr>
      <vt:lpstr>WACC</vt:lpstr>
      <vt:lpstr>Firm Value</vt:lpstr>
      <vt:lpstr>Absolute Method</vt:lpstr>
      <vt:lpstr>Relative Method</vt:lpstr>
      <vt:lpstr>Peer</vt:lpstr>
      <vt:lpstr>Sensitivity Analysis</vt:lpstr>
      <vt:lpstr>Financial Analysis</vt:lpstr>
      <vt:lpstr>Additional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pham vinh</cp:lastModifiedBy>
  <dcterms:created xsi:type="dcterms:W3CDTF">2026-06-03T10:27:27Z</dcterms:created>
  <dcterms:modified xsi:type="dcterms:W3CDTF">2026-06-04T15:15:13Z</dcterms:modified>
</cp:coreProperties>
</file>